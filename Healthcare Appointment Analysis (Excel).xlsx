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a1d90267dc531/"/>
    </mc:Choice>
  </mc:AlternateContent>
  <xr:revisionPtr revIDLastSave="0" documentId="8_{E47556CE-0078-42BF-8F91-CFCB855F23BC}" xr6:coauthVersionLast="47" xr6:coauthVersionMax="47" xr10:uidLastSave="{00000000-0000-0000-0000-000000000000}"/>
  <bookViews>
    <workbookView xWindow="-120" yWindow="-120" windowWidth="20730" windowHeight="11040" firstSheet="6" activeTab="8" xr2:uid="{819FC2E7-5CB4-46B9-B4DA-032613F22DD4}"/>
  </bookViews>
  <sheets>
    <sheet name="Raw_Data" sheetId="1" r:id="rId1"/>
    <sheet name="Clean_Data" sheetId="2" r:id="rId2"/>
    <sheet name="Department_Performance" sheetId="6" r:id="rId3"/>
    <sheet name="Department_Analysis" sheetId="5" r:id="rId4"/>
    <sheet name="Provider_Analysis" sheetId="3" r:id="rId5"/>
    <sheet name="Appointment_Type Analysis" sheetId="7" r:id="rId6"/>
    <sheet name="Satisfaction_Analysis" sheetId="11" r:id="rId7"/>
    <sheet name="Status_Analysis" sheetId="4" r:id="rId8"/>
    <sheet name="Dashboards" sheetId="8" r:id="rId9"/>
  </sheets>
  <definedNames>
    <definedName name="_xlnm._FilterDatabase" localSheetId="0" hidden="1">Raw_Data!$A$1:$O$101</definedName>
  </definedNames>
  <calcPr calcId="191029"/>
  <pivotCaches>
    <pivotCache cacheId="155" r:id="rId10"/>
    <pivotCache cacheId="15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8" l="1"/>
</calcChain>
</file>

<file path=xl/sharedStrings.xml><?xml version="1.0" encoding="utf-8"?>
<sst xmlns="http://schemas.openxmlformats.org/spreadsheetml/2006/main" count="1693" uniqueCount="257">
  <si>
    <t>Appointment_ID</t>
  </si>
  <si>
    <t>Patient_ID</t>
  </si>
  <si>
    <t>Appointment_Date</t>
  </si>
  <si>
    <t>Department</t>
  </si>
  <si>
    <t>Provider</t>
  </si>
  <si>
    <t>Appointment_Type</t>
  </si>
  <si>
    <t>Insurance_Type</t>
  </si>
  <si>
    <t>Patient_Age</t>
  </si>
  <si>
    <t>Appointment_Time</t>
  </si>
  <si>
    <t>Wait_Time_Minutes</t>
  </si>
  <si>
    <t>Appointment_Duration_Minutes</t>
  </si>
  <si>
    <t>Status</t>
  </si>
  <si>
    <t>Satisfaction_Score</t>
  </si>
  <si>
    <t>Referral</t>
  </si>
  <si>
    <t>Billing_Amount</t>
  </si>
  <si>
    <t>A1001</t>
  </si>
  <si>
    <t>P2001</t>
  </si>
  <si>
    <t>Primary Care</t>
  </si>
  <si>
    <t>Dr. Carter</t>
  </si>
  <si>
    <t>Annual Exam</t>
  </si>
  <si>
    <t>Medicaid</t>
  </si>
  <si>
    <t>Completed</t>
  </si>
  <si>
    <t>No</t>
  </si>
  <si>
    <t>A1002</t>
  </si>
  <si>
    <t>P2002</t>
  </si>
  <si>
    <t>Cardiology</t>
  </si>
  <si>
    <t>Dr. Williams</t>
  </si>
  <si>
    <t>Follow-Up</t>
  </si>
  <si>
    <t>Medicare</t>
  </si>
  <si>
    <t>Yes</t>
  </si>
  <si>
    <t>A1003</t>
  </si>
  <si>
    <t>P2003</t>
  </si>
  <si>
    <t>Pediatrics</t>
  </si>
  <si>
    <t>Dr. Lee</t>
  </si>
  <si>
    <t>Sick Visit</t>
  </si>
  <si>
    <t>A1004</t>
  </si>
  <si>
    <t>P2004</t>
  </si>
  <si>
    <t>Orthopedics</t>
  </si>
  <si>
    <t>Dr. Patel</t>
  </si>
  <si>
    <t>New Patient</t>
  </si>
  <si>
    <t>Commercial</t>
  </si>
  <si>
    <t>A1005</t>
  </si>
  <si>
    <t>P2005</t>
  </si>
  <si>
    <t>A1006</t>
  </si>
  <si>
    <t>P2006</t>
  </si>
  <si>
    <t>Dermatology</t>
  </si>
  <si>
    <t>Dr. Morgan</t>
  </si>
  <si>
    <t>A1007</t>
  </si>
  <si>
    <t>P2007</t>
  </si>
  <si>
    <t>Well Child</t>
  </si>
  <si>
    <t>A1008</t>
  </si>
  <si>
    <t>P2008</t>
  </si>
  <si>
    <t>No-Show</t>
  </si>
  <si>
    <t>A1009</t>
  </si>
  <si>
    <t>P2009</t>
  </si>
  <si>
    <t>Medication Check</t>
  </si>
  <si>
    <t>A1010</t>
  </si>
  <si>
    <t>P2010</t>
  </si>
  <si>
    <t>Cancelled</t>
  </si>
  <si>
    <t>A1011</t>
  </si>
  <si>
    <t>P2011</t>
  </si>
  <si>
    <t>Self-Pay</t>
  </si>
  <si>
    <t>A1012</t>
  </si>
  <si>
    <t>P2012</t>
  </si>
  <si>
    <t>A1013</t>
  </si>
  <si>
    <t>P2013</t>
  </si>
  <si>
    <t>A1014</t>
  </si>
  <si>
    <t>P2014</t>
  </si>
  <si>
    <t>A1015</t>
  </si>
  <si>
    <t>P2015</t>
  </si>
  <si>
    <t>A1016</t>
  </si>
  <si>
    <t>P2016</t>
  </si>
  <si>
    <t>A1017</t>
  </si>
  <si>
    <t>P2017</t>
  </si>
  <si>
    <t>A1018</t>
  </si>
  <si>
    <t>P2018</t>
  </si>
  <si>
    <t>A1019</t>
  </si>
  <si>
    <t>P2019</t>
  </si>
  <si>
    <t>A1020</t>
  </si>
  <si>
    <t>P2020</t>
  </si>
  <si>
    <t>A1021</t>
  </si>
  <si>
    <t>P2021</t>
  </si>
  <si>
    <t>A1022</t>
  </si>
  <si>
    <t>P2022</t>
  </si>
  <si>
    <t>A1023</t>
  </si>
  <si>
    <t>P2023</t>
  </si>
  <si>
    <t>A1024</t>
  </si>
  <si>
    <t>P2024</t>
  </si>
  <si>
    <t>A1025</t>
  </si>
  <si>
    <t>P2025</t>
  </si>
  <si>
    <t>A1026</t>
  </si>
  <si>
    <t>P2026</t>
  </si>
  <si>
    <t>A1027</t>
  </si>
  <si>
    <t>P2027</t>
  </si>
  <si>
    <t>A1028</t>
  </si>
  <si>
    <t>P2028</t>
  </si>
  <si>
    <t>A1029</t>
  </si>
  <si>
    <t>P2029</t>
  </si>
  <si>
    <t>A1030</t>
  </si>
  <si>
    <t>P2030</t>
  </si>
  <si>
    <t>A1031</t>
  </si>
  <si>
    <t>P2031</t>
  </si>
  <si>
    <t>A1032</t>
  </si>
  <si>
    <t>P2032</t>
  </si>
  <si>
    <t>A1033</t>
  </si>
  <si>
    <t>P2033</t>
  </si>
  <si>
    <t>A1034</t>
  </si>
  <si>
    <t>P2034</t>
  </si>
  <si>
    <t>A1035</t>
  </si>
  <si>
    <t>P2035</t>
  </si>
  <si>
    <t>A1036</t>
  </si>
  <si>
    <t>P2036</t>
  </si>
  <si>
    <t>A1037</t>
  </si>
  <si>
    <t>P2037</t>
  </si>
  <si>
    <t>A1038</t>
  </si>
  <si>
    <t>P2038</t>
  </si>
  <si>
    <t>A1039</t>
  </si>
  <si>
    <t>P2039</t>
  </si>
  <si>
    <t>A1040</t>
  </si>
  <si>
    <t>P2040</t>
  </si>
  <si>
    <t>A1041</t>
  </si>
  <si>
    <t>P2041</t>
  </si>
  <si>
    <t>A1042</t>
  </si>
  <si>
    <t>P2042</t>
  </si>
  <si>
    <t>A1043</t>
  </si>
  <si>
    <t>P2043</t>
  </si>
  <si>
    <t>A1044</t>
  </si>
  <si>
    <t>P2044</t>
  </si>
  <si>
    <t>A1045</t>
  </si>
  <si>
    <t>P2045</t>
  </si>
  <si>
    <t>A1046</t>
  </si>
  <si>
    <t>P2046</t>
  </si>
  <si>
    <t>A1047</t>
  </si>
  <si>
    <t>P2047</t>
  </si>
  <si>
    <t>A1048</t>
  </si>
  <si>
    <t>P2048</t>
  </si>
  <si>
    <t>A1049</t>
  </si>
  <si>
    <t>P2049</t>
  </si>
  <si>
    <t>A1050</t>
  </si>
  <si>
    <t>P2050</t>
  </si>
  <si>
    <t>A1051</t>
  </si>
  <si>
    <t>P2051</t>
  </si>
  <si>
    <t>A1052</t>
  </si>
  <si>
    <t>P2052</t>
  </si>
  <si>
    <t>A1053</t>
  </si>
  <si>
    <t>P2053</t>
  </si>
  <si>
    <t>A1054</t>
  </si>
  <si>
    <t>P2054</t>
  </si>
  <si>
    <t>A1055</t>
  </si>
  <si>
    <t>P2055</t>
  </si>
  <si>
    <t>A1056</t>
  </si>
  <si>
    <t>P2056</t>
  </si>
  <si>
    <t>A1057</t>
  </si>
  <si>
    <t>P2057</t>
  </si>
  <si>
    <t>A1058</t>
  </si>
  <si>
    <t>P2058</t>
  </si>
  <si>
    <t>A1059</t>
  </si>
  <si>
    <t>P2059</t>
  </si>
  <si>
    <t>A1060</t>
  </si>
  <si>
    <t>P2060</t>
  </si>
  <si>
    <t>A1061</t>
  </si>
  <si>
    <t>P2061</t>
  </si>
  <si>
    <t>A1062</t>
  </si>
  <si>
    <t>P2062</t>
  </si>
  <si>
    <t>A1063</t>
  </si>
  <si>
    <t>P2063</t>
  </si>
  <si>
    <t>A1064</t>
  </si>
  <si>
    <t>P2064</t>
  </si>
  <si>
    <t>A1065</t>
  </si>
  <si>
    <t>P2065</t>
  </si>
  <si>
    <t>A1066</t>
  </si>
  <si>
    <t>P2066</t>
  </si>
  <si>
    <t>A1067</t>
  </si>
  <si>
    <t>P2067</t>
  </si>
  <si>
    <t>A1068</t>
  </si>
  <si>
    <t>P2068</t>
  </si>
  <si>
    <t>A1069</t>
  </si>
  <si>
    <t>P2069</t>
  </si>
  <si>
    <t>A1070</t>
  </si>
  <si>
    <t>P2070</t>
  </si>
  <si>
    <t>A1071</t>
  </si>
  <si>
    <t>P2071</t>
  </si>
  <si>
    <t>A1072</t>
  </si>
  <si>
    <t>P2072</t>
  </si>
  <si>
    <t>A1073</t>
  </si>
  <si>
    <t>P2073</t>
  </si>
  <si>
    <t>A1074</t>
  </si>
  <si>
    <t>P2074</t>
  </si>
  <si>
    <t>A1075</t>
  </si>
  <si>
    <t>P2075</t>
  </si>
  <si>
    <t>A1076</t>
  </si>
  <si>
    <t>P2076</t>
  </si>
  <si>
    <t>A1077</t>
  </si>
  <si>
    <t>P2077</t>
  </si>
  <si>
    <t>A1078</t>
  </si>
  <si>
    <t>P2078</t>
  </si>
  <si>
    <t>A1079</t>
  </si>
  <si>
    <t>P2079</t>
  </si>
  <si>
    <t>A1080</t>
  </si>
  <si>
    <t>P2080</t>
  </si>
  <si>
    <t>A1081</t>
  </si>
  <si>
    <t>P2081</t>
  </si>
  <si>
    <t>A1082</t>
  </si>
  <si>
    <t>P2082</t>
  </si>
  <si>
    <t>A1083</t>
  </si>
  <si>
    <t>P2083</t>
  </si>
  <si>
    <t>A1084</t>
  </si>
  <si>
    <t>P2084</t>
  </si>
  <si>
    <t>A1085</t>
  </si>
  <si>
    <t>P2085</t>
  </si>
  <si>
    <t>A1086</t>
  </si>
  <si>
    <t>P2086</t>
  </si>
  <si>
    <t>A1087</t>
  </si>
  <si>
    <t>P2087</t>
  </si>
  <si>
    <t>A1088</t>
  </si>
  <si>
    <t>P2088</t>
  </si>
  <si>
    <t>A1089</t>
  </si>
  <si>
    <t>P2089</t>
  </si>
  <si>
    <t>A1090</t>
  </si>
  <si>
    <t>P2090</t>
  </si>
  <si>
    <t>A1091</t>
  </si>
  <si>
    <t>P2091</t>
  </si>
  <si>
    <t>A1092</t>
  </si>
  <si>
    <t>P2092</t>
  </si>
  <si>
    <t>A1093</t>
  </si>
  <si>
    <t>P2093</t>
  </si>
  <si>
    <t>A1094</t>
  </si>
  <si>
    <t>P2094</t>
  </si>
  <si>
    <t>A1095</t>
  </si>
  <si>
    <t>P2095</t>
  </si>
  <si>
    <t>A1096</t>
  </si>
  <si>
    <t>P2096</t>
  </si>
  <si>
    <t>A1097</t>
  </si>
  <si>
    <t>P2097</t>
  </si>
  <si>
    <t>A1098</t>
  </si>
  <si>
    <t>P2098</t>
  </si>
  <si>
    <t>A1099</t>
  </si>
  <si>
    <t>P2099</t>
  </si>
  <si>
    <t>A1100</t>
  </si>
  <si>
    <t>P2100</t>
  </si>
  <si>
    <t>Row Labels</t>
  </si>
  <si>
    <t>Grand Total</t>
  </si>
  <si>
    <t>Average of Wait_Time_Minutes</t>
  </si>
  <si>
    <t>Average of Satisfaction_Score</t>
  </si>
  <si>
    <t>Average of Billing_Amount</t>
  </si>
  <si>
    <t>Column1</t>
  </si>
  <si>
    <t>Column2</t>
  </si>
  <si>
    <t>Count of Appointment_ID</t>
  </si>
  <si>
    <t>Total Appointments</t>
  </si>
  <si>
    <t>Completion Rate</t>
  </si>
  <si>
    <t>Average Wait Time</t>
  </si>
  <si>
    <t>34.47 Min</t>
  </si>
  <si>
    <t>Average Satisfaction</t>
  </si>
  <si>
    <t>3.81/5</t>
  </si>
  <si>
    <t>Average Billing</t>
  </si>
  <si>
    <t>Healthcare Appointment &amp; Operations Dashboard</t>
  </si>
  <si>
    <t>Count of Appointment_Type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</si>
</sst>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2" tint="-0.499984740745262"/>
      <name val="Aptos Narrow"/>
      <family val="2"/>
      <scheme val="minor"/>
    </font>
    <font>
      <b/>
      <sz val="16"/>
      <color rgb="FF58485B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D2DC"/>
        <bgColor indexed="64"/>
      </patternFill>
    </fill>
    <fill>
      <patternFill patternType="solid">
        <fgColor rgb="FFE1DAF2"/>
        <bgColor indexed="64"/>
      </patternFill>
    </fill>
    <fill>
      <patternFill patternType="solid">
        <fgColor rgb="FFDAEBE0"/>
        <bgColor indexed="64"/>
      </patternFill>
    </fill>
    <fill>
      <patternFill patternType="solid">
        <fgColor rgb="FFD6E5F0"/>
        <bgColor indexed="64"/>
      </patternFill>
    </fill>
    <fill>
      <patternFill patternType="solid">
        <fgColor rgb="FFF8E2D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/>
    <xf numFmtId="20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9" fontId="3" fillId="2" borderId="0" xfId="0" applyNumberFormat="1" applyFont="1" applyFill="1"/>
    <xf numFmtId="0" fontId="3" fillId="3" borderId="0" xfId="0" applyFont="1" applyFill="1"/>
    <xf numFmtId="0" fontId="2" fillId="4" borderId="0" xfId="0" applyFont="1" applyFill="1"/>
    <xf numFmtId="8" fontId="2" fillId="5" borderId="0" xfId="0" applyNumberFormat="1" applyFont="1" applyFill="1"/>
    <xf numFmtId="0" fontId="2" fillId="6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5" formatCode="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EB2D7"/>
      <color rgb="FFDAEBE0"/>
      <color rgb="FFF4BECD"/>
      <color rgb="FFAAC6D6"/>
      <color rgb="FF58485B"/>
      <color rgb="FFF8E2D2"/>
      <color rgb="FFD6E5F0"/>
      <color rgb="FFE1DAF2"/>
      <color rgb="FFF4D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Appointment Analysis (Excel).xlsx]Department_Analysis!PivotTable5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100" b="1" i="0" baseline="0">
                <a:latin typeface="Calibri" panose="020F0502020204030204" pitchFamily="34" charset="0"/>
              </a:rPr>
              <a:t>Average Wait Time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AC6D6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AC6D6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Department_Analysis!$A$4:$A$9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Primary Care</c:v>
                </c:pt>
              </c:strCache>
            </c:strRef>
          </c:cat>
          <c:val>
            <c:numRef>
              <c:f>Department_Analysis!$B$4:$B$9</c:f>
              <c:numCache>
                <c:formatCode>General</c:formatCode>
                <c:ptCount val="5"/>
                <c:pt idx="0">
                  <c:v>2.6842105263157894</c:v>
                </c:pt>
                <c:pt idx="1">
                  <c:v>3.8571428571428572</c:v>
                </c:pt>
                <c:pt idx="2">
                  <c:v>2.5714285714285716</c:v>
                </c:pt>
                <c:pt idx="3">
                  <c:v>5</c:v>
                </c:pt>
                <c:pt idx="4">
                  <c:v>4.3703703703703702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3-4D61-8B5F-A43EDA9A4D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36578639"/>
        <c:axId val="1248389711"/>
      </c:barChart>
      <c:catAx>
        <c:axId val="123657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9711"/>
        <c:crosses val="autoZero"/>
        <c:auto val="1"/>
        <c:lblAlgn val="ctr"/>
        <c:lblOffset val="100"/>
        <c:noMultiLvlLbl val="0"/>
      </c:catAx>
      <c:valAx>
        <c:axId val="124838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Appointment Analysis (Excel).xlsx]Appointment_Type Analysis!PivotTable7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100" b="1" i="0" baseline="0">
                <a:latin typeface="Calibri" panose="020F0502020204030204" pitchFamily="34" charset="0"/>
              </a:rPr>
              <a:t>Average Wait Time</a:t>
            </a:r>
          </a:p>
        </c:rich>
      </c:tx>
      <c:layout>
        <c:manualLayout>
          <c:xMode val="edge"/>
          <c:yMode val="edge"/>
          <c:x val="0.33104855643044617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BECD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77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4BECD"/>
          </a:solidFill>
          <a:ln w="9525" cap="flat" cmpd="sng" algn="ctr">
            <a:solidFill>
              <a:schemeClr val="accent1">
                <a:tint val="77000"/>
                <a:shade val="95000"/>
              </a:schemeClr>
            </a:solidFill>
            <a:round/>
          </a:ln>
          <a:effectLst/>
        </c:spPr>
        <c:dLbl>
          <c:idx val="0"/>
          <c:numFmt formatCode="0.0" sourceLinked="0"/>
          <c:spPr>
            <a:solidFill>
              <a:srgbClr val="F4BEC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8826882328290785E-2"/>
                  <c:h val="4.6617741504421162E-2"/>
                </c:manualLayout>
              </c15:layout>
            </c:ext>
          </c:extLst>
        </c:dLbl>
      </c:pivotFmt>
      <c:pivotFmt>
        <c:idx val="6"/>
        <c:spPr>
          <a:solidFill>
            <a:srgbClr val="F4BECD"/>
          </a:solidFill>
          <a:ln w="9525" cap="flat" cmpd="sng" algn="ctr">
            <a:solidFill>
              <a:schemeClr val="accent1">
                <a:tint val="77000"/>
                <a:shade val="95000"/>
              </a:schemeClr>
            </a:solidFill>
            <a:round/>
          </a:ln>
          <a:effectLst/>
        </c:spPr>
        <c:dLbl>
          <c:idx val="0"/>
          <c:numFmt formatCode="0.0" sourceLinked="0"/>
          <c:spPr>
            <a:solidFill>
              <a:srgbClr val="F4BEC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015628140461469"/>
                  <c:h val="6.0624018228011153E-2"/>
                </c:manualLayout>
              </c15:layout>
            </c:ext>
          </c:extLst>
        </c:dLbl>
      </c:pivotFmt>
      <c:pivotFmt>
        <c:idx val="7"/>
        <c:spPr>
          <a:solidFill>
            <a:srgbClr val="F4BECD"/>
          </a:solidFill>
          <a:ln w="9525" cap="flat" cmpd="sng" algn="ctr">
            <a:solidFill>
              <a:schemeClr val="accent1">
                <a:tint val="77000"/>
                <a:shade val="95000"/>
              </a:schemeClr>
            </a:solidFill>
            <a:round/>
          </a:ln>
          <a:effectLst/>
        </c:spPr>
      </c:pivotFmt>
      <c:pivotFmt>
        <c:idx val="8"/>
        <c:spPr>
          <a:solidFill>
            <a:srgbClr val="F4BECD"/>
          </a:solidFill>
          <a:ln w="9525" cap="flat" cmpd="sng" algn="ctr">
            <a:solidFill>
              <a:schemeClr val="accent1">
                <a:tint val="77000"/>
                <a:shade val="95000"/>
              </a:schemeClr>
            </a:solidFill>
            <a:round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030424321959756"/>
          <c:y val="0.28643299795858851"/>
          <c:w val="0.37399650043744531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'Appointment_Type Analysis'!$B$3</c:f>
              <c:strCache>
                <c:ptCount val="1"/>
                <c:pt idx="0">
                  <c:v>Average of Wait_Time_Minutes</c:v>
                </c:pt>
              </c:strCache>
            </c:strRef>
          </c:tx>
          <c:spPr>
            <a:solidFill>
              <a:srgbClr val="F4BECD"/>
            </a:solidFill>
            <a:ln w="9525" cap="flat" cmpd="sng" algn="ctr">
              <a:solidFill>
                <a:schemeClr val="accent1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numFmt formatCode="0.0" sourceLinked="0"/>
              <c:spPr>
                <a:solidFill>
                  <a:srgbClr val="F4BEC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15628140461469"/>
                      <c:h val="6.06240182280111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C4D-42DA-8BF4-FFB21B9CAABF}"/>
                </c:ext>
              </c:extLst>
            </c:dLbl>
            <c:dLbl>
              <c:idx val="5"/>
              <c:numFmt formatCode="0.0" sourceLinked="0"/>
              <c:spPr>
                <a:solidFill>
                  <a:srgbClr val="F4BEC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826882328290785E-2"/>
                      <c:h val="4.66177415044211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C4D-42DA-8BF4-FFB21B9CA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'Appointment_Type Analysis'!$A$4:$A$10</c:f>
              <c:strCache>
                <c:ptCount val="6"/>
                <c:pt idx="0">
                  <c:v>Annual Exam</c:v>
                </c:pt>
                <c:pt idx="1">
                  <c:v>Follow-Up</c:v>
                </c:pt>
                <c:pt idx="2">
                  <c:v>Medication Check</c:v>
                </c:pt>
                <c:pt idx="3">
                  <c:v>New Patient</c:v>
                </c:pt>
                <c:pt idx="4">
                  <c:v>Sick Visit</c:v>
                </c:pt>
                <c:pt idx="5">
                  <c:v>Well Child</c:v>
                </c:pt>
              </c:strCache>
            </c:strRef>
          </c:cat>
          <c:val>
            <c:numRef>
              <c:f>'Appointment_Type Analysis'!$B$4:$B$10</c:f>
              <c:numCache>
                <c:formatCode>General</c:formatCode>
                <c:ptCount val="6"/>
                <c:pt idx="0">
                  <c:v>22.7</c:v>
                </c:pt>
                <c:pt idx="1">
                  <c:v>40.625</c:v>
                </c:pt>
                <c:pt idx="2">
                  <c:v>27</c:v>
                </c:pt>
                <c:pt idx="3">
                  <c:v>51.857142857142854</c:v>
                </c:pt>
                <c:pt idx="4">
                  <c:v>16.2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D-42DA-8BF4-FFB21B9CAABF}"/>
            </c:ext>
          </c:extLst>
        </c:ser>
        <c:ser>
          <c:idx val="1"/>
          <c:order val="1"/>
          <c:tx>
            <c:strRef>
              <c:f>'Appointment_Type Analysis'!$C$3</c:f>
              <c:strCache>
                <c:ptCount val="1"/>
                <c:pt idx="0">
                  <c:v>Count of Appointment_Type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'Appointment_Type Analysis'!$A$4:$A$10</c:f>
              <c:strCache>
                <c:ptCount val="6"/>
                <c:pt idx="0">
                  <c:v>Annual Exam</c:v>
                </c:pt>
                <c:pt idx="1">
                  <c:v>Follow-Up</c:v>
                </c:pt>
                <c:pt idx="2">
                  <c:v>Medication Check</c:v>
                </c:pt>
                <c:pt idx="3">
                  <c:v>New Patient</c:v>
                </c:pt>
                <c:pt idx="4">
                  <c:v>Sick Visit</c:v>
                </c:pt>
                <c:pt idx="5">
                  <c:v>Well Child</c:v>
                </c:pt>
              </c:strCache>
            </c:strRef>
          </c:cat>
          <c:val>
            <c:numRef>
              <c:f>'Appointment_Type Analysis'!$C$4:$C$10</c:f>
              <c:numCache>
                <c:formatCode>General</c:formatCode>
                <c:ptCount val="6"/>
                <c:pt idx="0">
                  <c:v>10</c:v>
                </c:pt>
                <c:pt idx="1">
                  <c:v>32</c:v>
                </c:pt>
                <c:pt idx="2">
                  <c:v>5</c:v>
                </c:pt>
                <c:pt idx="3">
                  <c:v>28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4D-42DA-8BF4-FFB21B9CAA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47139599"/>
        <c:axId val="1248385391"/>
      </c:barChart>
      <c:catAx>
        <c:axId val="114713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5391"/>
        <c:crosses val="autoZero"/>
        <c:auto val="1"/>
        <c:lblAlgn val="ctr"/>
        <c:lblOffset val="100"/>
        <c:noMultiLvlLbl val="0"/>
      </c:catAx>
      <c:valAx>
        <c:axId val="124838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13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Appointment Analysis (Excel).xlsx]Status_Analysis!PivotTable2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100" b="1" i="0" baseline="0">
                <a:latin typeface="Calibri" panose="020F0502020204030204" pitchFamily="34" charset="0"/>
              </a:rPr>
              <a:t>Appointment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AC6D6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BECD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solidFill>
            <a:srgbClr val="AAC6D6"/>
          </a:soli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</c:pivotFmt>
      <c:pivotFmt>
        <c:idx val="4"/>
        <c:spPr>
          <a:solidFill>
            <a:srgbClr val="DAEBE0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Status_Analysis!$B$3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AC6D6"/>
            </a:solidFill>
          </c:spPr>
          <c:dPt>
            <c:idx val="0"/>
            <c:bubble3D val="0"/>
            <c:spPr>
              <a:solidFill>
                <a:srgbClr val="F4BECD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71-4C91-8E49-003A2BABDC2C}"/>
              </c:ext>
            </c:extLst>
          </c:dPt>
          <c:dPt>
            <c:idx val="1"/>
            <c:bubble3D val="0"/>
            <c:spPr>
              <a:solidFill>
                <a:srgbClr val="AAC6D6"/>
              </a:soli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71-4C91-8E49-003A2BABDC2C}"/>
              </c:ext>
            </c:extLst>
          </c:dPt>
          <c:dPt>
            <c:idx val="2"/>
            <c:bubble3D val="0"/>
            <c:spPr>
              <a:solidFill>
                <a:srgbClr val="DAEBE0"/>
              </a:soli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71-4C91-8E49-003A2BABDC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Status_Analysis!$A$4:$A$7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</c:strCache>
            </c:strRef>
          </c:cat>
          <c:val>
            <c:numRef>
              <c:f>Status_Analysis!$B$4:$B$7</c:f>
              <c:numCache>
                <c:formatCode>General</c:formatCode>
                <c:ptCount val="3"/>
                <c:pt idx="0">
                  <c:v>3</c:v>
                </c:pt>
                <c:pt idx="1">
                  <c:v>94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71-4C91-8E49-003A2BABDC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Appointment Analysis (Excel).xlsx]Department_Performance!PivotTable6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100" b="1" i="0" baseline="0">
                <a:latin typeface="Calibri" panose="020F0502020204030204" pitchFamily="34" charset="0"/>
              </a:rPr>
              <a:t>Satisfaction &amp; Wait Time by Department</a:t>
            </a:r>
          </a:p>
        </c:rich>
      </c:tx>
      <c:layout>
        <c:manualLayout>
          <c:xMode val="edge"/>
          <c:yMode val="edge"/>
          <c:x val="0.356072931276297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AC6D6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4"/>
        <c:spPr>
          <a:solidFill>
            <a:srgbClr val="AAC6D6"/>
          </a:soli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29873987118995"/>
          <c:y val="3.6501894411449373E-3"/>
          <c:w val="0.34580242325392252"/>
          <c:h val="0.747620002743172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Department_Performance!$B$3</c:f>
              <c:strCache>
                <c:ptCount val="1"/>
                <c:pt idx="0">
                  <c:v>Average of Satisfaction_Score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Department_Performance!$A$4:$A$9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Primary Care</c:v>
                </c:pt>
              </c:strCache>
            </c:strRef>
          </c:cat>
          <c:val>
            <c:numRef>
              <c:f>Department_Performance!$B$4:$B$9</c:f>
              <c:numCache>
                <c:formatCode>General</c:formatCode>
                <c:ptCount val="5"/>
                <c:pt idx="0">
                  <c:v>2.6842105263157894</c:v>
                </c:pt>
                <c:pt idx="1">
                  <c:v>3.8571428571428572</c:v>
                </c:pt>
                <c:pt idx="2">
                  <c:v>2.5714285714285716</c:v>
                </c:pt>
                <c:pt idx="3">
                  <c:v>5</c:v>
                </c:pt>
                <c:pt idx="4">
                  <c:v>4.3703703703703702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B-4EFB-AD2B-D054AF472787}"/>
            </c:ext>
          </c:extLst>
        </c:ser>
        <c:ser>
          <c:idx val="1"/>
          <c:order val="1"/>
          <c:tx>
            <c:strRef>
              <c:f>Department_Performance!$C$3</c:f>
              <c:strCache>
                <c:ptCount val="1"/>
                <c:pt idx="0">
                  <c:v>Average of Wait_Time_Minutes</c:v>
                </c:pt>
              </c:strCache>
            </c:strRef>
          </c:tx>
          <c:spPr>
            <a:solidFill>
              <a:srgbClr val="AAC6D6"/>
            </a:soli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Department_Performance!$A$4:$A$9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Primary Care</c:v>
                </c:pt>
              </c:strCache>
            </c:strRef>
          </c:cat>
          <c:val>
            <c:numRef>
              <c:f>Department_Performance!$C$4:$C$9</c:f>
              <c:numCache>
                <c:formatCode>General</c:formatCode>
                <c:ptCount val="5"/>
                <c:pt idx="0">
                  <c:v>56.3</c:v>
                </c:pt>
                <c:pt idx="1">
                  <c:v>34</c:v>
                </c:pt>
                <c:pt idx="2">
                  <c:v>57.4375</c:v>
                </c:pt>
                <c:pt idx="3">
                  <c:v>11.3</c:v>
                </c:pt>
                <c:pt idx="4">
                  <c:v>22.571428571428573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BB-4EFB-AD2B-D054AF472787}"/>
            </c:ext>
          </c:extLst>
        </c:ser>
        <c:ser>
          <c:idx val="2"/>
          <c:order val="2"/>
          <c:tx>
            <c:strRef>
              <c:f>Department_Performance!$D$3</c:f>
              <c:strCache>
                <c:ptCount val="1"/>
                <c:pt idx="0">
                  <c:v>Count of Appointment_ID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Department_Performance!$A$4:$A$9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Primary Care</c:v>
                </c:pt>
              </c:strCache>
            </c:strRef>
          </c:cat>
          <c:val>
            <c:numRef>
              <c:f>Department_Performance!$D$4:$D$9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20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BB-4EFB-AD2B-D054AF4727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56726783"/>
        <c:axId val="1973037711"/>
      </c:barChart>
      <c:catAx>
        <c:axId val="125672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37711"/>
        <c:crosses val="autoZero"/>
        <c:auto val="1"/>
        <c:lblAlgn val="ctr"/>
        <c:lblOffset val="100"/>
        <c:noMultiLvlLbl val="0"/>
      </c:catAx>
      <c:valAx>
        <c:axId val="197303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Appointment Analysis (Excel).xlsx]Satisfaction_Analysis!PivotTable8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58485B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100" b="1" i="0" baseline="0">
                <a:solidFill>
                  <a:srgbClr val="58485B"/>
                </a:solidFill>
                <a:latin typeface="Calibri" panose="020F0502020204030204" pitchFamily="34" charset="0"/>
              </a:rPr>
              <a:t>Average Satisfaction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58485B"/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EB2D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EB2D7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Satisfaction_Analysis!$B$3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EB2D7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Satisfaction_Analysis!$A$4:$A$9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Primary Care</c:v>
                </c:pt>
              </c:strCache>
            </c:strRef>
          </c:cat>
          <c:val>
            <c:numRef>
              <c:f>Satisfaction_Analysis!$B$4:$B$9</c:f>
              <c:numCache>
                <c:formatCode>General</c:formatCode>
                <c:ptCount val="5"/>
                <c:pt idx="0">
                  <c:v>2.6842105263157894</c:v>
                </c:pt>
                <c:pt idx="1">
                  <c:v>3.8571428571428572</c:v>
                </c:pt>
                <c:pt idx="2">
                  <c:v>2.5714285714285716</c:v>
                </c:pt>
                <c:pt idx="3">
                  <c:v>5</c:v>
                </c:pt>
                <c:pt idx="4">
                  <c:v>4.3703703703703702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F-4CC7-8BA9-F24E78C59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916271"/>
        <c:axId val="1248414191"/>
      </c:barChart>
      <c:catAx>
        <c:axId val="121691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14191"/>
        <c:crosses val="autoZero"/>
        <c:auto val="1"/>
        <c:lblAlgn val="ctr"/>
        <c:lblOffset val="100"/>
        <c:noMultiLvlLbl val="0"/>
      </c:catAx>
      <c:valAx>
        <c:axId val="12484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10</xdr:row>
      <xdr:rowOff>23812</xdr:rowOff>
    </xdr:from>
    <xdr:to>
      <xdr:col>5</xdr:col>
      <xdr:colOff>1123950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9B08F-322A-AECC-9943-65E7F9011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27</xdr:row>
      <xdr:rowOff>23812</xdr:rowOff>
    </xdr:from>
    <xdr:to>
      <xdr:col>5</xdr:col>
      <xdr:colOff>1133475</xdr:colOff>
      <xdr:row>41</xdr:row>
      <xdr:rowOff>100012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38AFE6E-9FB0-A7C9-0735-31477C8A7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27</xdr:row>
      <xdr:rowOff>52387</xdr:rowOff>
    </xdr:from>
    <xdr:to>
      <xdr:col>16</xdr:col>
      <xdr:colOff>333375</xdr:colOff>
      <xdr:row>41</xdr:row>
      <xdr:rowOff>128587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D70C62F-5A8B-61AF-D1A1-64E3212B5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10</xdr:row>
      <xdr:rowOff>42862</xdr:rowOff>
    </xdr:from>
    <xdr:to>
      <xdr:col>16</xdr:col>
      <xdr:colOff>342900</xdr:colOff>
      <xdr:row>24</xdr:row>
      <xdr:rowOff>119062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90400D05-437B-1231-7863-ACA4AE881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88780</xdr:colOff>
      <xdr:row>10</xdr:row>
      <xdr:rowOff>7170</xdr:rowOff>
    </xdr:from>
    <xdr:to>
      <xdr:col>26</xdr:col>
      <xdr:colOff>408425</xdr:colOff>
      <xdr:row>24</xdr:row>
      <xdr:rowOff>83369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D2FC5388-F3F8-3C10-2AE9-2A6BEA568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mine Ward" refreshedDate="46260.472322800924" createdVersion="8" refreshedVersion="8" minRefreshableVersion="3" recordCount="100" xr:uid="{C5C441AC-C949-4750-92AE-644D1C9CFE44}">
  <cacheSource type="worksheet">
    <worksheetSource ref="A1:O101" sheet="Clean_Data"/>
  </cacheSource>
  <cacheFields count="15">
    <cacheField name="Appointment_ID" numFmtId="0">
      <sharedItems/>
    </cacheField>
    <cacheField name="Patient_ID" numFmtId="0">
      <sharedItems/>
    </cacheField>
    <cacheField name="Appointment_Date" numFmtId="14">
      <sharedItems containsSemiMixedTypes="0" containsNonDate="0" containsDate="1" containsString="0" minDate="2026-01-05T00:00:00" maxDate="2026-01-17T00:00:00"/>
    </cacheField>
    <cacheField name="Department" numFmtId="0">
      <sharedItems count="5">
        <s v="Primary Care"/>
        <s v="Cardiology"/>
        <s v="Pediatrics"/>
        <s v="Orthopedics"/>
        <s v="Dermatology"/>
      </sharedItems>
    </cacheField>
    <cacheField name="Provider" numFmtId="0">
      <sharedItems count="5">
        <s v="Dr. Carter"/>
        <s v="Dr. Williams"/>
        <s v="Dr. Lee"/>
        <s v="Dr. Patel"/>
        <s v="Dr. Morgan"/>
      </sharedItems>
    </cacheField>
    <cacheField name="Appointment_Type" numFmtId="0">
      <sharedItems count="6">
        <s v="Annual Exam"/>
        <s v="Follow-Up"/>
        <s v="Sick Visit"/>
        <s v="New Patient"/>
        <s v="Well Child"/>
        <s v="Medication Check"/>
      </sharedItems>
    </cacheField>
    <cacheField name="Insurance_Type" numFmtId="0">
      <sharedItems/>
    </cacheField>
    <cacheField name="Patient_Age" numFmtId="0">
      <sharedItems containsSemiMixedTypes="0" containsString="0" containsNumber="1" containsInteger="1" minValue="3" maxValue="81"/>
    </cacheField>
    <cacheField name="Appointment_Time" numFmtId="20">
      <sharedItems containsSemiMixedTypes="0" containsNonDate="0" containsDate="1" containsString="0" minDate="1899-12-30T08:00:00" maxDate="1899-12-30T13:30:00"/>
    </cacheField>
    <cacheField name="Wait_Time_Minutes" numFmtId="0">
      <sharedItems containsSemiMixedTypes="0" containsString="0" containsNumber="1" containsInteger="1" minValue="6" maxValue="78"/>
    </cacheField>
    <cacheField name="Appointment_Duration_Minutes" numFmtId="0">
      <sharedItems containsSemiMixedTypes="0" containsString="0" containsNumber="1" containsInteger="1" minValue="25" maxValue="65"/>
    </cacheField>
    <cacheField name="Status" numFmtId="0">
      <sharedItems count="3">
        <s v="Completed"/>
        <s v="No-Show"/>
        <s v="Cancelled"/>
      </sharedItems>
    </cacheField>
    <cacheField name="Satisfaction_Score" numFmtId="0">
      <sharedItems containsString="0" containsBlank="1" containsNumber="1" containsInteger="1" minValue="2" maxValue="5"/>
    </cacheField>
    <cacheField name="Referral" numFmtId="0">
      <sharedItems/>
    </cacheField>
    <cacheField name="Billing_Amount" numFmtId="0">
      <sharedItems containsSemiMixedTypes="0" containsString="0" containsNumber="1" containsInteger="1" minValue="135" maxValue="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mine Ward" refreshedDate="46260.472323726855" createdVersion="8" refreshedVersion="8" minRefreshableVersion="3" recordCount="103" xr:uid="{4805323F-83F7-4D35-A7A7-D1408C836C24}">
  <cacheSource type="worksheet">
    <worksheetSource ref="A1:O1010" sheet="Clean_Data"/>
  </cacheSource>
  <cacheFields count="15">
    <cacheField name="Appointment_ID" numFmtId="0">
      <sharedItems containsBlank="1"/>
    </cacheField>
    <cacheField name="Patient_ID" numFmtId="0">
      <sharedItems containsBlank="1"/>
    </cacheField>
    <cacheField name="Appointment_Date" numFmtId="0">
      <sharedItems containsNonDate="0" containsDate="1" containsString="0" containsBlank="1" minDate="2026-01-05T00:00:00" maxDate="2026-01-17T00:00:00"/>
    </cacheField>
    <cacheField name="Department" numFmtId="0">
      <sharedItems containsBlank="1" count="6">
        <s v="Primary Care"/>
        <s v="Cardiology"/>
        <s v="Pediatrics"/>
        <s v="Orthopedics"/>
        <s v="Dermatology"/>
        <m/>
      </sharedItems>
    </cacheField>
    <cacheField name="Provider" numFmtId="0">
      <sharedItems containsBlank="1"/>
    </cacheField>
    <cacheField name="Appointment_Type" numFmtId="0">
      <sharedItems containsBlank="1"/>
    </cacheField>
    <cacheField name="Insurance_Type" numFmtId="0">
      <sharedItems containsBlank="1"/>
    </cacheField>
    <cacheField name="Patient_Age" numFmtId="0">
      <sharedItems containsString="0" containsBlank="1" containsNumber="1" containsInteger="1" minValue="3" maxValue="81"/>
    </cacheField>
    <cacheField name="Appointment_Time" numFmtId="0">
      <sharedItems containsNonDate="0" containsDate="1" containsString="0" containsBlank="1" minDate="1899-12-30T08:00:00" maxDate="1899-12-30T13:30:00"/>
    </cacheField>
    <cacheField name="Wait_Time_Minutes" numFmtId="0">
      <sharedItems containsString="0" containsBlank="1" containsNumber="1" containsInteger="1" minValue="6" maxValue="78"/>
    </cacheField>
    <cacheField name="Appointment_Duration_Minutes" numFmtId="0">
      <sharedItems containsString="0" containsBlank="1" containsNumber="1" containsInteger="1" minValue="25" maxValue="65"/>
    </cacheField>
    <cacheField name="Status" numFmtId="0">
      <sharedItems containsBlank="1"/>
    </cacheField>
    <cacheField name="Satisfaction_Score" numFmtId="0">
      <sharedItems containsString="0" containsBlank="1" containsNumber="1" containsInteger="1" minValue="2" maxValue="5"/>
    </cacheField>
    <cacheField name="Referral" numFmtId="0">
      <sharedItems containsBlank="1"/>
    </cacheField>
    <cacheField name="Billing_Amount" numFmtId="0">
      <sharedItems containsString="0" containsBlank="1" containsNumber="1" containsInteger="1" minValue="135" maxValue="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1001"/>
    <s v="P2001"/>
    <d v="2026-01-05T00:00:00"/>
    <x v="0"/>
    <x v="0"/>
    <x v="0"/>
    <s v="Medicaid"/>
    <n v="34"/>
    <d v="1899-12-30T08:00:00"/>
    <n v="18"/>
    <n v="35"/>
    <x v="0"/>
    <n v="5"/>
    <s v="No"/>
    <n v="185"/>
  </r>
  <r>
    <s v="A1002"/>
    <s v="P2002"/>
    <d v="2026-01-05T00:00:00"/>
    <x v="1"/>
    <x v="1"/>
    <x v="1"/>
    <s v="Medicare"/>
    <n v="67"/>
    <d v="1899-12-30T08:30:00"/>
    <n v="42"/>
    <n v="50"/>
    <x v="0"/>
    <n v="3"/>
    <s v="Yes"/>
    <n v="420"/>
  </r>
  <r>
    <s v="A1003"/>
    <s v="P2003"/>
    <d v="2026-01-05T00:00:00"/>
    <x v="2"/>
    <x v="2"/>
    <x v="2"/>
    <s v="Medicaid"/>
    <n v="8"/>
    <d v="1899-12-30T09:00:00"/>
    <n v="12"/>
    <n v="30"/>
    <x v="0"/>
    <n v="5"/>
    <s v="No"/>
    <n v="160"/>
  </r>
  <r>
    <s v="A1004"/>
    <s v="P2004"/>
    <d v="2026-01-05T00:00:00"/>
    <x v="3"/>
    <x v="3"/>
    <x v="3"/>
    <s v="Commercial"/>
    <n v="52"/>
    <d v="1899-12-30T09:30:00"/>
    <n v="55"/>
    <n v="60"/>
    <x v="0"/>
    <n v="2"/>
    <s v="Yes"/>
    <n v="575"/>
  </r>
  <r>
    <s v="A1005"/>
    <s v="P2005"/>
    <d v="2026-01-05T00:00:00"/>
    <x v="0"/>
    <x v="0"/>
    <x v="1"/>
    <s v="Commercial"/>
    <n v="45"/>
    <d v="1899-12-30T10:00:00"/>
    <n v="21"/>
    <n v="30"/>
    <x v="0"/>
    <n v="4"/>
    <s v="No"/>
    <n v="210"/>
  </r>
  <r>
    <s v="A1006"/>
    <s v="P2006"/>
    <d v="2026-01-05T00:00:00"/>
    <x v="4"/>
    <x v="4"/>
    <x v="3"/>
    <s v="Commercial"/>
    <n v="29"/>
    <d v="1899-12-30T10:30:00"/>
    <n v="35"/>
    <n v="45"/>
    <x v="0"/>
    <n v="4"/>
    <s v="Yes"/>
    <n v="315"/>
  </r>
  <r>
    <s v="A1007"/>
    <s v="P2007"/>
    <d v="2026-01-05T00:00:00"/>
    <x v="2"/>
    <x v="2"/>
    <x v="4"/>
    <s v="Medicaid"/>
    <n v="5"/>
    <d v="1899-12-30T11:00:00"/>
    <n v="9"/>
    <n v="25"/>
    <x v="0"/>
    <n v="5"/>
    <s v="No"/>
    <n v="145"/>
  </r>
  <r>
    <s v="A1008"/>
    <s v="P2008"/>
    <d v="2026-01-05T00:00:00"/>
    <x v="1"/>
    <x v="1"/>
    <x v="3"/>
    <s v="Medicare"/>
    <n v="71"/>
    <d v="1899-12-30T11:30:00"/>
    <n v="61"/>
    <n v="55"/>
    <x v="1"/>
    <m/>
    <s v="Yes"/>
    <n v="450"/>
  </r>
  <r>
    <s v="A1009"/>
    <s v="P2009"/>
    <d v="2026-01-05T00:00:00"/>
    <x v="0"/>
    <x v="0"/>
    <x v="5"/>
    <s v="Medicaid"/>
    <n v="61"/>
    <d v="1899-12-30T13:00:00"/>
    <n v="27"/>
    <n v="25"/>
    <x v="0"/>
    <n v="4"/>
    <s v="No"/>
    <n v="135"/>
  </r>
  <r>
    <s v="A1010"/>
    <s v="P2010"/>
    <d v="2026-01-05T00:00:00"/>
    <x v="3"/>
    <x v="3"/>
    <x v="1"/>
    <s v="Commercial"/>
    <n v="39"/>
    <d v="1899-12-30T13:30:00"/>
    <n v="48"/>
    <n v="40"/>
    <x v="2"/>
    <m/>
    <s v="No"/>
    <n v="290"/>
  </r>
  <r>
    <s v="A1011"/>
    <s v="P2011"/>
    <d v="2026-01-06T00:00:00"/>
    <x v="0"/>
    <x v="0"/>
    <x v="3"/>
    <s v="Self-Pay"/>
    <n v="27"/>
    <d v="1899-12-30T08:00:00"/>
    <n v="31"/>
    <n v="45"/>
    <x v="0"/>
    <n v="4"/>
    <s v="Yes"/>
    <n v="225"/>
  </r>
  <r>
    <s v="A1012"/>
    <s v="P2012"/>
    <d v="2026-01-06T00:00:00"/>
    <x v="1"/>
    <x v="1"/>
    <x v="1"/>
    <s v="Medicare"/>
    <n v="74"/>
    <d v="1899-12-30T08:30:00"/>
    <n v="38"/>
    <n v="50"/>
    <x v="0"/>
    <n v="3"/>
    <s v="Yes"/>
    <n v="410"/>
  </r>
  <r>
    <s v="A1013"/>
    <s v="P2013"/>
    <d v="2026-01-06T00:00:00"/>
    <x v="2"/>
    <x v="2"/>
    <x v="2"/>
    <s v="Medicaid"/>
    <n v="11"/>
    <d v="1899-12-30T09:00:00"/>
    <n v="14"/>
    <n v="30"/>
    <x v="0"/>
    <n v="5"/>
    <s v="No"/>
    <n v="155"/>
  </r>
  <r>
    <s v="A1014"/>
    <s v="P2014"/>
    <d v="2026-01-06T00:00:00"/>
    <x v="4"/>
    <x v="4"/>
    <x v="1"/>
    <s v="Commercial"/>
    <n v="33"/>
    <d v="1899-12-30T09:30:00"/>
    <n v="26"/>
    <n v="35"/>
    <x v="0"/>
    <n v="4"/>
    <s v="No"/>
    <n v="245"/>
  </r>
  <r>
    <s v="A1015"/>
    <s v="P2015"/>
    <d v="2026-01-06T00:00:00"/>
    <x v="3"/>
    <x v="3"/>
    <x v="3"/>
    <s v="Medicare"/>
    <n v="68"/>
    <d v="1899-12-30T10:00:00"/>
    <n v="72"/>
    <n v="65"/>
    <x v="0"/>
    <n v="2"/>
    <s v="Yes"/>
    <n v="610"/>
  </r>
  <r>
    <s v="A1016"/>
    <s v="P2016"/>
    <d v="2026-01-06T00:00:00"/>
    <x v="0"/>
    <x v="0"/>
    <x v="0"/>
    <s v="Commercial"/>
    <n v="50"/>
    <d v="1899-12-30T10:30:00"/>
    <n v="19"/>
    <n v="35"/>
    <x v="0"/>
    <n v="5"/>
    <s v="No"/>
    <n v="190"/>
  </r>
  <r>
    <s v="A1017"/>
    <s v="P2017"/>
    <d v="2026-01-06T00:00:00"/>
    <x v="2"/>
    <x v="2"/>
    <x v="4"/>
    <s v="Medicaid"/>
    <n v="7"/>
    <d v="1899-12-30T11:00:00"/>
    <n v="11"/>
    <n v="25"/>
    <x v="0"/>
    <n v="5"/>
    <s v="No"/>
    <n v="140"/>
  </r>
  <r>
    <s v="A1018"/>
    <s v="P2018"/>
    <d v="2026-01-06T00:00:00"/>
    <x v="1"/>
    <x v="1"/>
    <x v="3"/>
    <s v="Commercial"/>
    <n v="59"/>
    <d v="1899-12-30T11:30:00"/>
    <n v="47"/>
    <n v="60"/>
    <x v="0"/>
    <n v="3"/>
    <s v="Yes"/>
    <n v="525"/>
  </r>
  <r>
    <s v="A1019"/>
    <s v="P2019"/>
    <d v="2026-01-06T00:00:00"/>
    <x v="4"/>
    <x v="4"/>
    <x v="3"/>
    <s v="Self-Pay"/>
    <n v="42"/>
    <d v="1899-12-30T13:00:00"/>
    <n v="29"/>
    <n v="45"/>
    <x v="0"/>
    <n v="4"/>
    <s v="Yes"/>
    <n v="330"/>
  </r>
  <r>
    <s v="A1020"/>
    <s v="P2020"/>
    <d v="2026-01-06T00:00:00"/>
    <x v="0"/>
    <x v="0"/>
    <x v="1"/>
    <s v="Medicaid"/>
    <n v="56"/>
    <d v="1899-12-30T13:30:00"/>
    <n v="16"/>
    <n v="30"/>
    <x v="0"/>
    <n v="5"/>
    <s v="No"/>
    <n v="175"/>
  </r>
  <r>
    <s v="A1021"/>
    <s v="P2021"/>
    <d v="2026-01-07T00:00:00"/>
    <x v="3"/>
    <x v="3"/>
    <x v="1"/>
    <s v="Commercial"/>
    <n v="44"/>
    <d v="1899-12-30T08:00:00"/>
    <n v="52"/>
    <n v="45"/>
    <x v="0"/>
    <n v="3"/>
    <s v="No"/>
    <n v="305"/>
  </r>
  <r>
    <s v="A1022"/>
    <s v="P2022"/>
    <d v="2026-01-07T00:00:00"/>
    <x v="0"/>
    <x v="0"/>
    <x v="2"/>
    <s v="Medicaid"/>
    <n v="23"/>
    <d v="1899-12-30T08:30:00"/>
    <n v="24"/>
    <n v="30"/>
    <x v="0"/>
    <n v="4"/>
    <s v="No"/>
    <n v="165"/>
  </r>
  <r>
    <s v="A1023"/>
    <s v="P2023"/>
    <d v="2026-01-07T00:00:00"/>
    <x v="1"/>
    <x v="1"/>
    <x v="0"/>
    <s v="Medicare"/>
    <n v="69"/>
    <d v="1899-12-30T09:00:00"/>
    <n v="45"/>
    <n v="50"/>
    <x v="0"/>
    <n v="3"/>
    <s v="No"/>
    <n v="390"/>
  </r>
  <r>
    <s v="A1024"/>
    <s v="P2024"/>
    <d v="2026-01-07T00:00:00"/>
    <x v="2"/>
    <x v="2"/>
    <x v="2"/>
    <s v="Commercial"/>
    <n v="13"/>
    <d v="1899-12-30T09:30:00"/>
    <n v="17"/>
    <n v="30"/>
    <x v="0"/>
    <n v="5"/>
    <s v="No"/>
    <n v="175"/>
  </r>
  <r>
    <s v="A1025"/>
    <s v="P2025"/>
    <d v="2026-01-07T00:00:00"/>
    <x v="4"/>
    <x v="4"/>
    <x v="1"/>
    <s v="Commercial"/>
    <n v="36"/>
    <d v="1899-12-30T10:00:00"/>
    <n v="34"/>
    <n v="35"/>
    <x v="0"/>
    <n v="4"/>
    <s v="No"/>
    <n v="240"/>
  </r>
  <r>
    <s v="A1026"/>
    <s v="P2026"/>
    <d v="2026-01-07T00:00:00"/>
    <x v="3"/>
    <x v="3"/>
    <x v="3"/>
    <s v="Medicaid"/>
    <n v="58"/>
    <d v="1899-12-30T10:30:00"/>
    <n v="68"/>
    <n v="60"/>
    <x v="0"/>
    <n v="2"/>
    <s v="Yes"/>
    <n v="495"/>
  </r>
  <r>
    <s v="A1027"/>
    <s v="P2027"/>
    <d v="2026-01-07T00:00:00"/>
    <x v="0"/>
    <x v="0"/>
    <x v="5"/>
    <s v="Medicare"/>
    <n v="72"/>
    <d v="1899-12-30T11:00:00"/>
    <n v="29"/>
    <n v="25"/>
    <x v="0"/>
    <n v="4"/>
    <s v="No"/>
    <n v="155"/>
  </r>
  <r>
    <s v="A1028"/>
    <s v="P2028"/>
    <d v="2026-01-07T00:00:00"/>
    <x v="2"/>
    <x v="2"/>
    <x v="4"/>
    <s v="Medicaid"/>
    <n v="4"/>
    <d v="1899-12-30T11:30:00"/>
    <n v="8"/>
    <n v="25"/>
    <x v="0"/>
    <n v="5"/>
    <s v="No"/>
    <n v="135"/>
  </r>
  <r>
    <s v="A1029"/>
    <s v="P2029"/>
    <d v="2026-01-07T00:00:00"/>
    <x v="1"/>
    <x v="1"/>
    <x v="1"/>
    <s v="Commercial"/>
    <n v="63"/>
    <d v="1899-12-30T13:00:00"/>
    <n v="51"/>
    <n v="45"/>
    <x v="0"/>
    <n v="3"/>
    <s v="Yes"/>
    <n v="380"/>
  </r>
  <r>
    <s v="A1030"/>
    <s v="P2030"/>
    <d v="2026-01-07T00:00:00"/>
    <x v="4"/>
    <x v="4"/>
    <x v="3"/>
    <s v="Commercial"/>
    <n v="48"/>
    <d v="1899-12-30T13:30:00"/>
    <n v="39"/>
    <n v="50"/>
    <x v="2"/>
    <m/>
    <s v="Yes"/>
    <n v="350"/>
  </r>
  <r>
    <s v="A1031"/>
    <s v="P2031"/>
    <d v="2026-01-08T00:00:00"/>
    <x v="0"/>
    <x v="0"/>
    <x v="0"/>
    <s v="Medicaid"/>
    <n v="31"/>
    <d v="1899-12-30T08:00:00"/>
    <n v="15"/>
    <n v="35"/>
    <x v="0"/>
    <n v="5"/>
    <s v="No"/>
    <n v="180"/>
  </r>
  <r>
    <s v="A1032"/>
    <s v="P2032"/>
    <d v="2026-01-08T00:00:00"/>
    <x v="1"/>
    <x v="1"/>
    <x v="3"/>
    <s v="Medicare"/>
    <n v="76"/>
    <d v="1899-12-30T08:30:00"/>
    <n v="64"/>
    <n v="65"/>
    <x v="0"/>
    <n v="2"/>
    <s v="Yes"/>
    <n v="565"/>
  </r>
  <r>
    <s v="A1033"/>
    <s v="P2033"/>
    <d v="2026-01-08T00:00:00"/>
    <x v="2"/>
    <x v="2"/>
    <x v="2"/>
    <s v="Medicaid"/>
    <n v="9"/>
    <d v="1899-12-30T09:00:00"/>
    <n v="13"/>
    <n v="30"/>
    <x v="0"/>
    <n v="5"/>
    <s v="No"/>
    <n v="155"/>
  </r>
  <r>
    <s v="A1034"/>
    <s v="P2034"/>
    <d v="2026-01-08T00:00:00"/>
    <x v="3"/>
    <x v="3"/>
    <x v="1"/>
    <s v="Commercial"/>
    <n v="47"/>
    <d v="1899-12-30T09:30:00"/>
    <n v="43"/>
    <n v="45"/>
    <x v="0"/>
    <n v="4"/>
    <s v="No"/>
    <n v="295"/>
  </r>
  <r>
    <s v="A1035"/>
    <s v="P2035"/>
    <d v="2026-01-08T00:00:00"/>
    <x v="4"/>
    <x v="4"/>
    <x v="3"/>
    <s v="Commercial"/>
    <n v="26"/>
    <d v="1899-12-30T10:00:00"/>
    <n v="37"/>
    <n v="50"/>
    <x v="0"/>
    <n v="4"/>
    <s v="Yes"/>
    <n v="340"/>
  </r>
  <r>
    <s v="A1036"/>
    <s v="P2036"/>
    <d v="2026-01-08T00:00:00"/>
    <x v="0"/>
    <x v="0"/>
    <x v="1"/>
    <s v="Medicare"/>
    <n v="64"/>
    <d v="1899-12-30T10:30:00"/>
    <n v="22"/>
    <n v="30"/>
    <x v="0"/>
    <n v="4"/>
    <s v="No"/>
    <n v="205"/>
  </r>
  <r>
    <s v="A1037"/>
    <s v="P2037"/>
    <d v="2026-01-08T00:00:00"/>
    <x v="2"/>
    <x v="2"/>
    <x v="4"/>
    <s v="Medicaid"/>
    <n v="6"/>
    <d v="1899-12-30T11:00:00"/>
    <n v="10"/>
    <n v="25"/>
    <x v="0"/>
    <n v="5"/>
    <s v="No"/>
    <n v="145"/>
  </r>
  <r>
    <s v="A1038"/>
    <s v="P2038"/>
    <d v="2026-01-08T00:00:00"/>
    <x v="1"/>
    <x v="1"/>
    <x v="1"/>
    <s v="Medicare"/>
    <n v="70"/>
    <d v="1899-12-30T11:30:00"/>
    <n v="57"/>
    <n v="50"/>
    <x v="0"/>
    <n v="3"/>
    <s v="Yes"/>
    <n v="415"/>
  </r>
  <r>
    <s v="A1039"/>
    <s v="P2039"/>
    <d v="2026-01-08T00:00:00"/>
    <x v="3"/>
    <x v="3"/>
    <x v="3"/>
    <s v="Self-Pay"/>
    <n v="35"/>
    <d v="1899-12-30T13:00:00"/>
    <n v="46"/>
    <n v="55"/>
    <x v="0"/>
    <n v="3"/>
    <s v="Yes"/>
    <n v="525"/>
  </r>
  <r>
    <s v="A1040"/>
    <s v="P2040"/>
    <d v="2026-01-08T00:00:00"/>
    <x v="0"/>
    <x v="0"/>
    <x v="2"/>
    <s v="Medicaid"/>
    <n v="41"/>
    <d v="1899-12-30T13:30:00"/>
    <n v="20"/>
    <n v="30"/>
    <x v="0"/>
    <n v="5"/>
    <s v="No"/>
    <n v="160"/>
  </r>
  <r>
    <s v="A1041"/>
    <s v="P2041"/>
    <d v="2026-01-09T00:00:00"/>
    <x v="4"/>
    <x v="4"/>
    <x v="1"/>
    <s v="Commercial"/>
    <n v="38"/>
    <d v="1899-12-30T08:00:00"/>
    <n v="32"/>
    <n v="35"/>
    <x v="0"/>
    <n v="4"/>
    <s v="No"/>
    <n v="235"/>
  </r>
  <r>
    <s v="A1042"/>
    <s v="P2042"/>
    <d v="2026-01-09T00:00:00"/>
    <x v="0"/>
    <x v="0"/>
    <x v="3"/>
    <s v="Commercial"/>
    <n v="55"/>
    <d v="1899-12-30T08:30:00"/>
    <n v="41"/>
    <n v="50"/>
    <x v="0"/>
    <n v="3"/>
    <s v="Yes"/>
    <n v="285"/>
  </r>
  <r>
    <s v="A1043"/>
    <s v="P2043"/>
    <d v="2026-01-09T00:00:00"/>
    <x v="2"/>
    <x v="2"/>
    <x v="2"/>
    <s v="Medicaid"/>
    <n v="10"/>
    <d v="1899-12-30T09:00:00"/>
    <n v="7"/>
    <n v="25"/>
    <x v="0"/>
    <n v="5"/>
    <s v="No"/>
    <n v="150"/>
  </r>
  <r>
    <s v="A1044"/>
    <s v="P2044"/>
    <d v="2026-01-09T00:00:00"/>
    <x v="1"/>
    <x v="1"/>
    <x v="1"/>
    <s v="Medicare"/>
    <n v="81"/>
    <d v="1899-12-30T09:30:00"/>
    <n v="73"/>
    <n v="55"/>
    <x v="0"/>
    <n v="2"/>
    <s v="Yes"/>
    <n v="430"/>
  </r>
  <r>
    <s v="A1045"/>
    <s v="P2045"/>
    <d v="2026-01-09T00:00:00"/>
    <x v="3"/>
    <x v="3"/>
    <x v="1"/>
    <s v="Commercial"/>
    <n v="49"/>
    <d v="1899-12-30T10:00:00"/>
    <n v="49"/>
    <n v="45"/>
    <x v="0"/>
    <n v="3"/>
    <s v="No"/>
    <n v="310"/>
  </r>
  <r>
    <s v="A1046"/>
    <s v="P2046"/>
    <d v="2026-01-09T00:00:00"/>
    <x v="0"/>
    <x v="0"/>
    <x v="0"/>
    <s v="Medicaid"/>
    <n v="37"/>
    <d v="1899-12-30T10:30:00"/>
    <n v="17"/>
    <n v="35"/>
    <x v="0"/>
    <n v="5"/>
    <s v="No"/>
    <n v="180"/>
  </r>
  <r>
    <s v="A1047"/>
    <s v="P2047"/>
    <d v="2026-01-09T00:00:00"/>
    <x v="4"/>
    <x v="4"/>
    <x v="3"/>
    <s v="Self-Pay"/>
    <n v="30"/>
    <d v="1899-12-30T11:00:00"/>
    <n v="36"/>
    <n v="45"/>
    <x v="1"/>
    <m/>
    <s v="Yes"/>
    <n v="320"/>
  </r>
  <r>
    <s v="A1048"/>
    <s v="P2048"/>
    <d v="2026-01-09T00:00:00"/>
    <x v="2"/>
    <x v="2"/>
    <x v="4"/>
    <s v="Commercial"/>
    <n v="6"/>
    <d v="1899-12-30T11:30:00"/>
    <n v="12"/>
    <n v="25"/>
    <x v="0"/>
    <n v="5"/>
    <s v="No"/>
    <n v="165"/>
  </r>
  <r>
    <s v="A1049"/>
    <s v="P2049"/>
    <d v="2026-01-09T00:00:00"/>
    <x v="1"/>
    <x v="1"/>
    <x v="3"/>
    <s v="Commercial"/>
    <n v="62"/>
    <d v="1899-12-30T13:00:00"/>
    <n v="54"/>
    <n v="60"/>
    <x v="0"/>
    <n v="3"/>
    <s v="Yes"/>
    <n v="540"/>
  </r>
  <r>
    <s v="A1050"/>
    <s v="P2050"/>
    <d v="2026-01-09T00:00:00"/>
    <x v="0"/>
    <x v="0"/>
    <x v="5"/>
    <s v="Medicare"/>
    <n v="68"/>
    <d v="1899-12-30T13:30:00"/>
    <n v="25"/>
    <n v="25"/>
    <x v="0"/>
    <n v="4"/>
    <s v="No"/>
    <n v="150"/>
  </r>
  <r>
    <s v="A1051"/>
    <s v="P2051"/>
    <d v="2026-01-12T00:00:00"/>
    <x v="3"/>
    <x v="3"/>
    <x v="3"/>
    <s v="Medicaid"/>
    <n v="61"/>
    <d v="1899-12-30T08:00:00"/>
    <n v="78"/>
    <n v="65"/>
    <x v="0"/>
    <n v="2"/>
    <s v="Yes"/>
    <n v="590"/>
  </r>
  <r>
    <s v="A1052"/>
    <s v="P2052"/>
    <d v="2026-01-12T00:00:00"/>
    <x v="0"/>
    <x v="0"/>
    <x v="1"/>
    <s v="Commercial"/>
    <n v="43"/>
    <d v="1899-12-30T08:30:00"/>
    <n v="23"/>
    <n v="30"/>
    <x v="0"/>
    <n v="4"/>
    <s v="No"/>
    <n v="195"/>
  </r>
  <r>
    <s v="A1053"/>
    <s v="P2053"/>
    <d v="2026-01-12T00:00:00"/>
    <x v="2"/>
    <x v="2"/>
    <x v="2"/>
    <s v="Medicaid"/>
    <n v="12"/>
    <d v="1899-12-30T09:00:00"/>
    <n v="16"/>
    <n v="30"/>
    <x v="0"/>
    <n v="5"/>
    <s v="No"/>
    <n v="160"/>
  </r>
  <r>
    <s v="A1054"/>
    <s v="P2054"/>
    <d v="2026-01-12T00:00:00"/>
    <x v="1"/>
    <x v="1"/>
    <x v="1"/>
    <s v="Medicare"/>
    <n v="73"/>
    <d v="1899-12-30T09:30:00"/>
    <n v="62"/>
    <n v="50"/>
    <x v="0"/>
    <n v="2"/>
    <s v="Yes"/>
    <n v="405"/>
  </r>
  <r>
    <s v="A1055"/>
    <s v="P2055"/>
    <d v="2026-01-12T00:00:00"/>
    <x v="4"/>
    <x v="4"/>
    <x v="1"/>
    <s v="Commercial"/>
    <n v="35"/>
    <d v="1899-12-30T10:00:00"/>
    <n v="28"/>
    <n v="35"/>
    <x v="0"/>
    <n v="4"/>
    <s v="No"/>
    <n v="240"/>
  </r>
  <r>
    <s v="A1056"/>
    <s v="P2056"/>
    <d v="2026-01-12T00:00:00"/>
    <x v="0"/>
    <x v="0"/>
    <x v="0"/>
    <s v="Medicaid"/>
    <n v="29"/>
    <d v="1899-12-30T10:30:00"/>
    <n v="14"/>
    <n v="35"/>
    <x v="0"/>
    <n v="5"/>
    <s v="No"/>
    <n v="175"/>
  </r>
  <r>
    <s v="A1057"/>
    <s v="P2057"/>
    <d v="2026-01-12T00:00:00"/>
    <x v="2"/>
    <x v="2"/>
    <x v="4"/>
    <s v="Medicaid"/>
    <n v="3"/>
    <d v="1899-12-30T11:00:00"/>
    <n v="6"/>
    <n v="25"/>
    <x v="0"/>
    <n v="5"/>
    <s v="No"/>
    <n v="135"/>
  </r>
  <r>
    <s v="A1058"/>
    <s v="P2058"/>
    <d v="2026-01-12T00:00:00"/>
    <x v="3"/>
    <x v="3"/>
    <x v="1"/>
    <s v="Commercial"/>
    <n v="54"/>
    <d v="1899-12-30T11:30:00"/>
    <n v="44"/>
    <n v="45"/>
    <x v="0"/>
    <n v="3"/>
    <s v="No"/>
    <n v="300"/>
  </r>
  <r>
    <s v="A1059"/>
    <s v="P2059"/>
    <d v="2026-01-12T00:00:00"/>
    <x v="1"/>
    <x v="1"/>
    <x v="3"/>
    <s v="Medicare"/>
    <n v="77"/>
    <d v="1899-12-30T13:00:00"/>
    <n v="69"/>
    <n v="65"/>
    <x v="0"/>
    <n v="2"/>
    <s v="Yes"/>
    <n v="575"/>
  </r>
  <r>
    <s v="A1060"/>
    <s v="P2060"/>
    <d v="2026-01-12T00:00:00"/>
    <x v="4"/>
    <x v="4"/>
    <x v="3"/>
    <s v="Commercial"/>
    <n v="46"/>
    <d v="1899-12-30T13:30:00"/>
    <n v="38"/>
    <n v="50"/>
    <x v="0"/>
    <n v="4"/>
    <s v="Yes"/>
    <n v="350"/>
  </r>
  <r>
    <s v="A1061"/>
    <s v="P2061"/>
    <d v="2026-01-13T00:00:00"/>
    <x v="0"/>
    <x v="0"/>
    <x v="2"/>
    <s v="Medicaid"/>
    <n v="22"/>
    <d v="1899-12-30T08:00:00"/>
    <n v="19"/>
    <n v="30"/>
    <x v="0"/>
    <n v="4"/>
    <s v="No"/>
    <n v="160"/>
  </r>
  <r>
    <s v="A1062"/>
    <s v="P2062"/>
    <d v="2026-01-13T00:00:00"/>
    <x v="1"/>
    <x v="1"/>
    <x v="0"/>
    <s v="Medicare"/>
    <n v="66"/>
    <d v="1899-12-30T08:30:00"/>
    <n v="48"/>
    <n v="50"/>
    <x v="0"/>
    <n v="3"/>
    <s v="No"/>
    <n v="395"/>
  </r>
  <r>
    <s v="A1063"/>
    <s v="P2063"/>
    <d v="2026-01-13T00:00:00"/>
    <x v="2"/>
    <x v="2"/>
    <x v="4"/>
    <s v="Commercial"/>
    <n v="7"/>
    <d v="1899-12-30T09:00:00"/>
    <n v="10"/>
    <n v="25"/>
    <x v="0"/>
    <n v="5"/>
    <s v="No"/>
    <n v="150"/>
  </r>
  <r>
    <s v="A1064"/>
    <s v="P2064"/>
    <d v="2026-01-13T00:00:00"/>
    <x v="3"/>
    <x v="3"/>
    <x v="1"/>
    <s v="Medicaid"/>
    <n v="42"/>
    <d v="1899-12-30T09:30:00"/>
    <n v="58"/>
    <n v="45"/>
    <x v="0"/>
    <n v="3"/>
    <s v="No"/>
    <n v="285"/>
  </r>
  <r>
    <s v="A1065"/>
    <s v="P2065"/>
    <d v="2026-01-13T00:00:00"/>
    <x v="4"/>
    <x v="4"/>
    <x v="3"/>
    <s v="Commercial"/>
    <n v="31"/>
    <d v="1899-12-30T10:00:00"/>
    <n v="33"/>
    <n v="50"/>
    <x v="0"/>
    <n v="4"/>
    <s v="Yes"/>
    <n v="335"/>
  </r>
  <r>
    <s v="A1066"/>
    <s v="P2066"/>
    <d v="2026-01-13T00:00:00"/>
    <x v="0"/>
    <x v="0"/>
    <x v="5"/>
    <s v="Medicare"/>
    <n v="75"/>
    <d v="1899-12-30T10:30:00"/>
    <n v="26"/>
    <n v="25"/>
    <x v="0"/>
    <n v="4"/>
    <s v="No"/>
    <n v="145"/>
  </r>
  <r>
    <s v="A1067"/>
    <s v="P2067"/>
    <d v="2026-01-13T00:00:00"/>
    <x v="2"/>
    <x v="2"/>
    <x v="2"/>
    <s v="Medicaid"/>
    <n v="14"/>
    <d v="1899-12-30T11:00:00"/>
    <n v="18"/>
    <n v="30"/>
    <x v="0"/>
    <n v="5"/>
    <s v="No"/>
    <n v="165"/>
  </r>
  <r>
    <s v="A1068"/>
    <s v="P2068"/>
    <d v="2026-01-13T00:00:00"/>
    <x v="1"/>
    <x v="1"/>
    <x v="1"/>
    <s v="Commercial"/>
    <n v="57"/>
    <d v="1899-12-30T11:30:00"/>
    <n v="52"/>
    <n v="45"/>
    <x v="0"/>
    <n v="3"/>
    <s v="Yes"/>
    <n v="375"/>
  </r>
  <r>
    <s v="A1069"/>
    <s v="P2069"/>
    <d v="2026-01-13T00:00:00"/>
    <x v="3"/>
    <x v="3"/>
    <x v="3"/>
    <s v="Medicare"/>
    <n v="69"/>
    <d v="1899-12-30T13:00:00"/>
    <n v="71"/>
    <n v="60"/>
    <x v="0"/>
    <n v="2"/>
    <s v="Yes"/>
    <n v="605"/>
  </r>
  <r>
    <s v="A1070"/>
    <s v="P2070"/>
    <d v="2026-01-13T00:00:00"/>
    <x v="0"/>
    <x v="0"/>
    <x v="1"/>
    <s v="Commercial"/>
    <n v="40"/>
    <d v="1899-12-30T13:30:00"/>
    <n v="22"/>
    <n v="30"/>
    <x v="2"/>
    <m/>
    <s v="No"/>
    <n v="195"/>
  </r>
  <r>
    <s v="A1071"/>
    <s v="P2071"/>
    <d v="2026-01-14T00:00:00"/>
    <x v="4"/>
    <x v="4"/>
    <x v="1"/>
    <s v="Commercial"/>
    <n v="44"/>
    <d v="1899-12-30T08:00:00"/>
    <n v="31"/>
    <n v="35"/>
    <x v="0"/>
    <n v="4"/>
    <s v="No"/>
    <n v="245"/>
  </r>
  <r>
    <s v="A1072"/>
    <s v="P2072"/>
    <d v="2026-01-14T00:00:00"/>
    <x v="0"/>
    <x v="0"/>
    <x v="3"/>
    <s v="Medicaid"/>
    <n v="58"/>
    <d v="1899-12-30T08:30:00"/>
    <n v="36"/>
    <n v="50"/>
    <x v="0"/>
    <n v="4"/>
    <s v="Yes"/>
    <n v="280"/>
  </r>
  <r>
    <s v="A1073"/>
    <s v="P2073"/>
    <d v="2026-01-14T00:00:00"/>
    <x v="2"/>
    <x v="2"/>
    <x v="2"/>
    <s v="Medicaid"/>
    <n v="9"/>
    <d v="1899-12-30T09:00:00"/>
    <n v="11"/>
    <n v="30"/>
    <x v="0"/>
    <n v="5"/>
    <s v="No"/>
    <n v="155"/>
  </r>
  <r>
    <s v="A1074"/>
    <s v="P2074"/>
    <d v="2026-01-14T00:00:00"/>
    <x v="1"/>
    <x v="1"/>
    <x v="1"/>
    <s v="Medicare"/>
    <n v="79"/>
    <d v="1899-12-30T09:30:00"/>
    <n v="66"/>
    <n v="55"/>
    <x v="0"/>
    <n v="2"/>
    <s v="Yes"/>
    <n v="425"/>
  </r>
  <r>
    <s v="A1075"/>
    <s v="P2075"/>
    <d v="2026-01-14T00:00:00"/>
    <x v="3"/>
    <x v="3"/>
    <x v="1"/>
    <s v="Commercial"/>
    <n v="51"/>
    <d v="1899-12-30T10:00:00"/>
    <n v="47"/>
    <n v="45"/>
    <x v="0"/>
    <n v="3"/>
    <s v="No"/>
    <n v="305"/>
  </r>
  <r>
    <s v="A1076"/>
    <s v="P2076"/>
    <d v="2026-01-14T00:00:00"/>
    <x v="0"/>
    <x v="0"/>
    <x v="0"/>
    <s v="Commercial"/>
    <n v="33"/>
    <d v="1899-12-30T10:30:00"/>
    <n v="18"/>
    <n v="35"/>
    <x v="0"/>
    <n v="5"/>
    <s v="No"/>
    <n v="190"/>
  </r>
  <r>
    <s v="A1077"/>
    <s v="P2077"/>
    <d v="2026-01-14T00:00:00"/>
    <x v="2"/>
    <x v="2"/>
    <x v="4"/>
    <s v="Medicaid"/>
    <n v="5"/>
    <d v="1899-12-30T11:00:00"/>
    <n v="8"/>
    <n v="25"/>
    <x v="0"/>
    <n v="5"/>
    <s v="No"/>
    <n v="140"/>
  </r>
  <r>
    <s v="A1078"/>
    <s v="P2078"/>
    <d v="2026-01-14T00:00:00"/>
    <x v="1"/>
    <x v="1"/>
    <x v="3"/>
    <s v="Commercial"/>
    <n v="60"/>
    <d v="1899-12-30T11:30:00"/>
    <n v="59"/>
    <n v="60"/>
    <x v="0"/>
    <n v="3"/>
    <s v="Yes"/>
    <n v="535"/>
  </r>
  <r>
    <s v="A1079"/>
    <s v="P2079"/>
    <d v="2026-01-14T00:00:00"/>
    <x v="4"/>
    <x v="4"/>
    <x v="3"/>
    <s v="Self-Pay"/>
    <n v="28"/>
    <d v="1899-12-30T13:00:00"/>
    <n v="42"/>
    <n v="50"/>
    <x v="0"/>
    <n v="3"/>
    <s v="Yes"/>
    <n v="345"/>
  </r>
  <r>
    <s v="A1080"/>
    <s v="P2080"/>
    <d v="2026-01-14T00:00:00"/>
    <x v="0"/>
    <x v="0"/>
    <x v="1"/>
    <s v="Medicare"/>
    <n v="63"/>
    <d v="1899-12-30T13:30:00"/>
    <n v="24"/>
    <n v="30"/>
    <x v="0"/>
    <n v="4"/>
    <s v="No"/>
    <n v="205"/>
  </r>
  <r>
    <s v="A1081"/>
    <s v="P2081"/>
    <d v="2026-01-15T00:00:00"/>
    <x v="3"/>
    <x v="3"/>
    <x v="3"/>
    <s v="Commercial"/>
    <n v="57"/>
    <d v="1899-12-30T08:00:00"/>
    <n v="63"/>
    <n v="65"/>
    <x v="0"/>
    <n v="2"/>
    <s v="Yes"/>
    <n v="595"/>
  </r>
  <r>
    <s v="A1082"/>
    <s v="P2082"/>
    <d v="2026-01-15T00:00:00"/>
    <x v="0"/>
    <x v="0"/>
    <x v="2"/>
    <s v="Medicaid"/>
    <n v="26"/>
    <d v="1899-12-30T08:30:00"/>
    <n v="21"/>
    <n v="30"/>
    <x v="0"/>
    <n v="5"/>
    <s v="No"/>
    <n v="160"/>
  </r>
  <r>
    <s v="A1083"/>
    <s v="P2083"/>
    <d v="2026-01-15T00:00:00"/>
    <x v="2"/>
    <x v="2"/>
    <x v="4"/>
    <s v="Medicaid"/>
    <n v="8"/>
    <d v="1899-12-30T09:00:00"/>
    <n v="9"/>
    <n v="25"/>
    <x v="0"/>
    <n v="5"/>
    <s v="No"/>
    <n v="145"/>
  </r>
  <r>
    <s v="A1084"/>
    <s v="P2084"/>
    <d v="2026-01-15T00:00:00"/>
    <x v="1"/>
    <x v="1"/>
    <x v="1"/>
    <s v="Medicare"/>
    <n v="72"/>
    <d v="1899-12-30T09:30:00"/>
    <n v="55"/>
    <n v="50"/>
    <x v="0"/>
    <n v="3"/>
    <s v="Yes"/>
    <n v="415"/>
  </r>
  <r>
    <s v="A1085"/>
    <s v="P2085"/>
    <d v="2026-01-15T00:00:00"/>
    <x v="4"/>
    <x v="4"/>
    <x v="1"/>
    <s v="Commercial"/>
    <n v="39"/>
    <d v="1899-12-30T10:00:00"/>
    <n v="29"/>
    <n v="35"/>
    <x v="0"/>
    <n v="4"/>
    <s v="No"/>
    <n v="240"/>
  </r>
  <r>
    <s v="A1086"/>
    <s v="P2086"/>
    <d v="2026-01-15T00:00:00"/>
    <x v="0"/>
    <x v="0"/>
    <x v="0"/>
    <s v="Commercial"/>
    <n v="48"/>
    <d v="1899-12-30T10:30:00"/>
    <n v="16"/>
    <n v="35"/>
    <x v="0"/>
    <n v="5"/>
    <s v="No"/>
    <n v="190"/>
  </r>
  <r>
    <s v="A1087"/>
    <s v="P2087"/>
    <d v="2026-01-15T00:00:00"/>
    <x v="2"/>
    <x v="2"/>
    <x v="2"/>
    <s v="Medicaid"/>
    <n v="13"/>
    <d v="1899-12-30T11:00:00"/>
    <n v="15"/>
    <n v="30"/>
    <x v="0"/>
    <n v="5"/>
    <s v="No"/>
    <n v="160"/>
  </r>
  <r>
    <s v="A1088"/>
    <s v="P2088"/>
    <d v="2026-01-15T00:00:00"/>
    <x v="1"/>
    <x v="1"/>
    <x v="3"/>
    <s v="Medicare"/>
    <n v="80"/>
    <d v="1899-12-30T11:30:00"/>
    <n v="76"/>
    <n v="65"/>
    <x v="0"/>
    <n v="2"/>
    <s v="Yes"/>
    <n v="590"/>
  </r>
  <r>
    <s v="A1089"/>
    <s v="P2089"/>
    <d v="2026-01-15T00:00:00"/>
    <x v="3"/>
    <x v="3"/>
    <x v="1"/>
    <s v="Commercial"/>
    <n v="46"/>
    <d v="1899-12-30T13:00:00"/>
    <n v="51"/>
    <n v="45"/>
    <x v="1"/>
    <m/>
    <s v="No"/>
    <n v="295"/>
  </r>
  <r>
    <s v="A1090"/>
    <s v="P2090"/>
    <d v="2026-01-15T00:00:00"/>
    <x v="0"/>
    <x v="0"/>
    <x v="5"/>
    <s v="Medicaid"/>
    <n v="59"/>
    <d v="1899-12-30T13:30:00"/>
    <n v="28"/>
    <n v="25"/>
    <x v="0"/>
    <n v="4"/>
    <s v="No"/>
    <n v="145"/>
  </r>
  <r>
    <s v="A1091"/>
    <s v="P2091"/>
    <d v="2026-01-16T00:00:00"/>
    <x v="4"/>
    <x v="4"/>
    <x v="3"/>
    <s v="Commercial"/>
    <n v="34"/>
    <d v="1899-12-30T08:00:00"/>
    <n v="40"/>
    <n v="50"/>
    <x v="0"/>
    <n v="3"/>
    <s v="Yes"/>
    <n v="350"/>
  </r>
  <r>
    <s v="A1092"/>
    <s v="P2092"/>
    <d v="2026-01-16T00:00:00"/>
    <x v="0"/>
    <x v="0"/>
    <x v="1"/>
    <s v="Medicare"/>
    <n v="70"/>
    <d v="1899-12-30T08:30:00"/>
    <n v="20"/>
    <n v="30"/>
    <x v="0"/>
    <n v="4"/>
    <s v="No"/>
    <n v="200"/>
  </r>
  <r>
    <s v="A1093"/>
    <s v="P2093"/>
    <d v="2026-01-16T00:00:00"/>
    <x v="2"/>
    <x v="2"/>
    <x v="4"/>
    <s v="Medicaid"/>
    <n v="4"/>
    <d v="1899-12-30T09:00:00"/>
    <n v="7"/>
    <n v="25"/>
    <x v="0"/>
    <n v="5"/>
    <s v="No"/>
    <n v="140"/>
  </r>
  <r>
    <s v="A1094"/>
    <s v="P2094"/>
    <d v="2026-01-16T00:00:00"/>
    <x v="1"/>
    <x v="1"/>
    <x v="1"/>
    <s v="Medicare"/>
    <n v="68"/>
    <d v="1899-12-30T09:30:00"/>
    <n v="49"/>
    <n v="50"/>
    <x v="0"/>
    <n v="3"/>
    <s v="Yes"/>
    <n v="405"/>
  </r>
  <r>
    <s v="A1095"/>
    <s v="P2095"/>
    <d v="2026-01-16T00:00:00"/>
    <x v="3"/>
    <x v="3"/>
    <x v="3"/>
    <s v="Medicaid"/>
    <n v="63"/>
    <d v="1899-12-30T10:00:00"/>
    <n v="74"/>
    <n v="65"/>
    <x v="0"/>
    <n v="2"/>
    <s v="Yes"/>
    <n v="600"/>
  </r>
  <r>
    <s v="A1096"/>
    <s v="P2096"/>
    <d v="2026-01-16T00:00:00"/>
    <x v="0"/>
    <x v="0"/>
    <x v="2"/>
    <s v="Commercial"/>
    <n v="37"/>
    <d v="1899-12-30T10:30:00"/>
    <n v="23"/>
    <n v="30"/>
    <x v="0"/>
    <n v="4"/>
    <s v="No"/>
    <n v="170"/>
  </r>
  <r>
    <s v="A1097"/>
    <s v="P2097"/>
    <d v="2026-01-16T00:00:00"/>
    <x v="2"/>
    <x v="2"/>
    <x v="2"/>
    <s v="Medicaid"/>
    <n v="15"/>
    <d v="1899-12-30T11:00:00"/>
    <n v="13"/>
    <n v="30"/>
    <x v="0"/>
    <n v="5"/>
    <s v="No"/>
    <n v="165"/>
  </r>
  <r>
    <s v="A1098"/>
    <s v="P2098"/>
    <d v="2026-01-16T00:00:00"/>
    <x v="4"/>
    <x v="4"/>
    <x v="1"/>
    <s v="Commercial"/>
    <n v="45"/>
    <d v="1899-12-30T11:30:00"/>
    <n v="35"/>
    <n v="35"/>
    <x v="0"/>
    <n v="4"/>
    <s v="No"/>
    <n v="235"/>
  </r>
  <r>
    <s v="A1099"/>
    <s v="P2099"/>
    <d v="2026-01-16T00:00:00"/>
    <x v="1"/>
    <x v="1"/>
    <x v="3"/>
    <s v="Commercial"/>
    <n v="56"/>
    <d v="1899-12-30T13:00:00"/>
    <n v="58"/>
    <n v="60"/>
    <x v="0"/>
    <n v="3"/>
    <s v="Yes"/>
    <n v="525"/>
  </r>
  <r>
    <s v="A1100"/>
    <s v="P2100"/>
    <d v="2026-01-16T00:00:00"/>
    <x v="0"/>
    <x v="0"/>
    <x v="0"/>
    <s v="Medicaid"/>
    <n v="32"/>
    <d v="1899-12-30T13:30:00"/>
    <n v="17"/>
    <n v="35"/>
    <x v="0"/>
    <n v="5"/>
    <s v="No"/>
    <n v="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A1001"/>
    <s v="P2001"/>
    <d v="2026-01-05T00:00:00"/>
    <x v="0"/>
    <s v="Dr. Carter"/>
    <s v="Annual Exam"/>
    <s v="Medicaid"/>
    <n v="34"/>
    <d v="1899-12-30T08:00:00"/>
    <n v="18"/>
    <n v="35"/>
    <s v="Completed"/>
    <n v="5"/>
    <s v="No"/>
    <n v="185"/>
  </r>
  <r>
    <s v="A1002"/>
    <s v="P2002"/>
    <d v="2026-01-05T00:00:00"/>
    <x v="1"/>
    <s v="Dr. Williams"/>
    <s v="Follow-Up"/>
    <s v="Medicare"/>
    <n v="67"/>
    <d v="1899-12-30T08:30:00"/>
    <n v="42"/>
    <n v="50"/>
    <s v="Completed"/>
    <n v="3"/>
    <s v="Yes"/>
    <n v="420"/>
  </r>
  <r>
    <s v="A1003"/>
    <s v="P2003"/>
    <d v="2026-01-05T00:00:00"/>
    <x v="2"/>
    <s v="Dr. Lee"/>
    <s v="Sick Visit"/>
    <s v="Medicaid"/>
    <n v="8"/>
    <d v="1899-12-30T09:00:00"/>
    <n v="12"/>
    <n v="30"/>
    <s v="Completed"/>
    <n v="5"/>
    <s v="No"/>
    <n v="160"/>
  </r>
  <r>
    <s v="A1004"/>
    <s v="P2004"/>
    <d v="2026-01-05T00:00:00"/>
    <x v="3"/>
    <s v="Dr. Patel"/>
    <s v="New Patient"/>
    <s v="Commercial"/>
    <n v="52"/>
    <d v="1899-12-30T09:30:00"/>
    <n v="55"/>
    <n v="60"/>
    <s v="Completed"/>
    <n v="2"/>
    <s v="Yes"/>
    <n v="575"/>
  </r>
  <r>
    <s v="A1005"/>
    <s v="P2005"/>
    <d v="2026-01-05T00:00:00"/>
    <x v="0"/>
    <s v="Dr. Carter"/>
    <s v="Follow-Up"/>
    <s v="Commercial"/>
    <n v="45"/>
    <d v="1899-12-30T10:00:00"/>
    <n v="21"/>
    <n v="30"/>
    <s v="Completed"/>
    <n v="4"/>
    <s v="No"/>
    <n v="210"/>
  </r>
  <r>
    <s v="A1006"/>
    <s v="P2006"/>
    <d v="2026-01-05T00:00:00"/>
    <x v="4"/>
    <s v="Dr. Morgan"/>
    <s v="New Patient"/>
    <s v="Commercial"/>
    <n v="29"/>
    <d v="1899-12-30T10:30:00"/>
    <n v="35"/>
    <n v="45"/>
    <s v="Completed"/>
    <n v="4"/>
    <s v="Yes"/>
    <n v="315"/>
  </r>
  <r>
    <s v="A1007"/>
    <s v="P2007"/>
    <d v="2026-01-05T00:00:00"/>
    <x v="2"/>
    <s v="Dr. Lee"/>
    <s v="Well Child"/>
    <s v="Medicaid"/>
    <n v="5"/>
    <d v="1899-12-30T11:00:00"/>
    <n v="9"/>
    <n v="25"/>
    <s v="Completed"/>
    <n v="5"/>
    <s v="No"/>
    <n v="145"/>
  </r>
  <r>
    <s v="A1008"/>
    <s v="P2008"/>
    <d v="2026-01-05T00:00:00"/>
    <x v="1"/>
    <s v="Dr. Williams"/>
    <s v="New Patient"/>
    <s v="Medicare"/>
    <n v="71"/>
    <d v="1899-12-30T11:30:00"/>
    <n v="61"/>
    <n v="55"/>
    <s v="No-Show"/>
    <m/>
    <s v="Yes"/>
    <n v="450"/>
  </r>
  <r>
    <s v="A1009"/>
    <s v="P2009"/>
    <d v="2026-01-05T00:00:00"/>
    <x v="0"/>
    <s v="Dr. Carter"/>
    <s v="Medication Check"/>
    <s v="Medicaid"/>
    <n v="61"/>
    <d v="1899-12-30T13:00:00"/>
    <n v="27"/>
    <n v="25"/>
    <s v="Completed"/>
    <n v="4"/>
    <s v="No"/>
    <n v="135"/>
  </r>
  <r>
    <s v="A1010"/>
    <s v="P2010"/>
    <d v="2026-01-05T00:00:00"/>
    <x v="3"/>
    <s v="Dr. Patel"/>
    <s v="Follow-Up"/>
    <s v="Commercial"/>
    <n v="39"/>
    <d v="1899-12-30T13:30:00"/>
    <n v="48"/>
    <n v="40"/>
    <s v="Cancelled"/>
    <m/>
    <s v="No"/>
    <n v="290"/>
  </r>
  <r>
    <s v="A1011"/>
    <s v="P2011"/>
    <d v="2026-01-06T00:00:00"/>
    <x v="0"/>
    <s v="Dr. Carter"/>
    <s v="New Patient"/>
    <s v="Self-Pay"/>
    <n v="27"/>
    <d v="1899-12-30T08:00:00"/>
    <n v="31"/>
    <n v="45"/>
    <s v="Completed"/>
    <n v="4"/>
    <s v="Yes"/>
    <n v="225"/>
  </r>
  <r>
    <s v="A1012"/>
    <s v="P2012"/>
    <d v="2026-01-06T00:00:00"/>
    <x v="1"/>
    <s v="Dr. Williams"/>
    <s v="Follow-Up"/>
    <s v="Medicare"/>
    <n v="74"/>
    <d v="1899-12-30T08:30:00"/>
    <n v="38"/>
    <n v="50"/>
    <s v="Completed"/>
    <n v="3"/>
    <s v="Yes"/>
    <n v="410"/>
  </r>
  <r>
    <s v="A1013"/>
    <s v="P2013"/>
    <d v="2026-01-06T00:00:00"/>
    <x v="2"/>
    <s v="Dr. Lee"/>
    <s v="Sick Visit"/>
    <s v="Medicaid"/>
    <n v="11"/>
    <d v="1899-12-30T09:00:00"/>
    <n v="14"/>
    <n v="30"/>
    <s v="Completed"/>
    <n v="5"/>
    <s v="No"/>
    <n v="155"/>
  </r>
  <r>
    <s v="A1014"/>
    <s v="P2014"/>
    <d v="2026-01-06T00:00:00"/>
    <x v="4"/>
    <s v="Dr. Morgan"/>
    <s v="Follow-Up"/>
    <s v="Commercial"/>
    <n v="33"/>
    <d v="1899-12-30T09:30:00"/>
    <n v="26"/>
    <n v="35"/>
    <s v="Completed"/>
    <n v="4"/>
    <s v="No"/>
    <n v="245"/>
  </r>
  <r>
    <s v="A1015"/>
    <s v="P2015"/>
    <d v="2026-01-06T00:00:00"/>
    <x v="3"/>
    <s v="Dr. Patel"/>
    <s v="New Patient"/>
    <s v="Medicare"/>
    <n v="68"/>
    <d v="1899-12-30T10:00:00"/>
    <n v="72"/>
    <n v="65"/>
    <s v="Completed"/>
    <n v="2"/>
    <s v="Yes"/>
    <n v="610"/>
  </r>
  <r>
    <s v="A1016"/>
    <s v="P2016"/>
    <d v="2026-01-06T00:00:00"/>
    <x v="0"/>
    <s v="Dr. Carter"/>
    <s v="Annual Exam"/>
    <s v="Commercial"/>
    <n v="50"/>
    <d v="1899-12-30T10:30:00"/>
    <n v="19"/>
    <n v="35"/>
    <s v="Completed"/>
    <n v="5"/>
    <s v="No"/>
    <n v="190"/>
  </r>
  <r>
    <s v="A1017"/>
    <s v="P2017"/>
    <d v="2026-01-06T00:00:00"/>
    <x v="2"/>
    <s v="Dr. Lee"/>
    <s v="Well Child"/>
    <s v="Medicaid"/>
    <n v="7"/>
    <d v="1899-12-30T11:00:00"/>
    <n v="11"/>
    <n v="25"/>
    <s v="Completed"/>
    <n v="5"/>
    <s v="No"/>
    <n v="140"/>
  </r>
  <r>
    <s v="A1018"/>
    <s v="P2018"/>
    <d v="2026-01-06T00:00:00"/>
    <x v="1"/>
    <s v="Dr. Williams"/>
    <s v="New Patient"/>
    <s v="Commercial"/>
    <n v="59"/>
    <d v="1899-12-30T11:30:00"/>
    <n v="47"/>
    <n v="60"/>
    <s v="Completed"/>
    <n v="3"/>
    <s v="Yes"/>
    <n v="525"/>
  </r>
  <r>
    <s v="A1019"/>
    <s v="P2019"/>
    <d v="2026-01-06T00:00:00"/>
    <x v="4"/>
    <s v="Dr. Morgan"/>
    <s v="New Patient"/>
    <s v="Self-Pay"/>
    <n v="42"/>
    <d v="1899-12-30T13:00:00"/>
    <n v="29"/>
    <n v="45"/>
    <s v="Completed"/>
    <n v="4"/>
    <s v="Yes"/>
    <n v="330"/>
  </r>
  <r>
    <s v="A1020"/>
    <s v="P2020"/>
    <d v="2026-01-06T00:00:00"/>
    <x v="0"/>
    <s v="Dr. Carter"/>
    <s v="Follow-Up"/>
    <s v="Medicaid"/>
    <n v="56"/>
    <d v="1899-12-30T13:30:00"/>
    <n v="16"/>
    <n v="30"/>
    <s v="Completed"/>
    <n v="5"/>
    <s v="No"/>
    <n v="175"/>
  </r>
  <r>
    <s v="A1021"/>
    <s v="P2021"/>
    <d v="2026-01-07T00:00:00"/>
    <x v="3"/>
    <s v="Dr. Patel"/>
    <s v="Follow-Up"/>
    <s v="Commercial"/>
    <n v="44"/>
    <d v="1899-12-30T08:00:00"/>
    <n v="52"/>
    <n v="45"/>
    <s v="Completed"/>
    <n v="3"/>
    <s v="No"/>
    <n v="305"/>
  </r>
  <r>
    <s v="A1022"/>
    <s v="P2022"/>
    <d v="2026-01-07T00:00:00"/>
    <x v="0"/>
    <s v="Dr. Carter"/>
    <s v="Sick Visit"/>
    <s v="Medicaid"/>
    <n v="23"/>
    <d v="1899-12-30T08:30:00"/>
    <n v="24"/>
    <n v="30"/>
    <s v="Completed"/>
    <n v="4"/>
    <s v="No"/>
    <n v="165"/>
  </r>
  <r>
    <s v="A1023"/>
    <s v="P2023"/>
    <d v="2026-01-07T00:00:00"/>
    <x v="1"/>
    <s v="Dr. Williams"/>
    <s v="Annual Exam"/>
    <s v="Medicare"/>
    <n v="69"/>
    <d v="1899-12-30T09:00:00"/>
    <n v="45"/>
    <n v="50"/>
    <s v="Completed"/>
    <n v="3"/>
    <s v="No"/>
    <n v="390"/>
  </r>
  <r>
    <s v="A1024"/>
    <s v="P2024"/>
    <d v="2026-01-07T00:00:00"/>
    <x v="2"/>
    <s v="Dr. Lee"/>
    <s v="Sick Visit"/>
    <s v="Commercial"/>
    <n v="13"/>
    <d v="1899-12-30T09:30:00"/>
    <n v="17"/>
    <n v="30"/>
    <s v="Completed"/>
    <n v="5"/>
    <s v="No"/>
    <n v="175"/>
  </r>
  <r>
    <s v="A1025"/>
    <s v="P2025"/>
    <d v="2026-01-07T00:00:00"/>
    <x v="4"/>
    <s v="Dr. Morgan"/>
    <s v="Follow-Up"/>
    <s v="Commercial"/>
    <n v="36"/>
    <d v="1899-12-30T10:00:00"/>
    <n v="34"/>
    <n v="35"/>
    <s v="Completed"/>
    <n v="4"/>
    <s v="No"/>
    <n v="240"/>
  </r>
  <r>
    <s v="A1026"/>
    <s v="P2026"/>
    <d v="2026-01-07T00:00:00"/>
    <x v="3"/>
    <s v="Dr. Patel"/>
    <s v="New Patient"/>
    <s v="Medicaid"/>
    <n v="58"/>
    <d v="1899-12-30T10:30:00"/>
    <n v="68"/>
    <n v="60"/>
    <s v="Completed"/>
    <n v="2"/>
    <s v="Yes"/>
    <n v="495"/>
  </r>
  <r>
    <s v="A1027"/>
    <s v="P2027"/>
    <d v="2026-01-07T00:00:00"/>
    <x v="0"/>
    <s v="Dr. Carter"/>
    <s v="Medication Check"/>
    <s v="Medicare"/>
    <n v="72"/>
    <d v="1899-12-30T11:00:00"/>
    <n v="29"/>
    <n v="25"/>
    <s v="Completed"/>
    <n v="4"/>
    <s v="No"/>
    <n v="155"/>
  </r>
  <r>
    <s v="A1028"/>
    <s v="P2028"/>
    <d v="2026-01-07T00:00:00"/>
    <x v="2"/>
    <s v="Dr. Lee"/>
    <s v="Well Child"/>
    <s v="Medicaid"/>
    <n v="4"/>
    <d v="1899-12-30T11:30:00"/>
    <n v="8"/>
    <n v="25"/>
    <s v="Completed"/>
    <n v="5"/>
    <s v="No"/>
    <n v="135"/>
  </r>
  <r>
    <s v="A1029"/>
    <s v="P2029"/>
    <d v="2026-01-07T00:00:00"/>
    <x v="1"/>
    <s v="Dr. Williams"/>
    <s v="Follow-Up"/>
    <s v="Commercial"/>
    <n v="63"/>
    <d v="1899-12-30T13:00:00"/>
    <n v="51"/>
    <n v="45"/>
    <s v="Completed"/>
    <n v="3"/>
    <s v="Yes"/>
    <n v="380"/>
  </r>
  <r>
    <s v="A1030"/>
    <s v="P2030"/>
    <d v="2026-01-07T00:00:00"/>
    <x v="4"/>
    <s v="Dr. Morgan"/>
    <s v="New Patient"/>
    <s v="Commercial"/>
    <n v="48"/>
    <d v="1899-12-30T13:30:00"/>
    <n v="39"/>
    <n v="50"/>
    <s v="Cancelled"/>
    <m/>
    <s v="Yes"/>
    <n v="350"/>
  </r>
  <r>
    <s v="A1031"/>
    <s v="P2031"/>
    <d v="2026-01-08T00:00:00"/>
    <x v="0"/>
    <s v="Dr. Carter"/>
    <s v="Annual Exam"/>
    <s v="Medicaid"/>
    <n v="31"/>
    <d v="1899-12-30T08:00:00"/>
    <n v="15"/>
    <n v="35"/>
    <s v="Completed"/>
    <n v="5"/>
    <s v="No"/>
    <n v="180"/>
  </r>
  <r>
    <s v="A1032"/>
    <s v="P2032"/>
    <d v="2026-01-08T00:00:00"/>
    <x v="1"/>
    <s v="Dr. Williams"/>
    <s v="New Patient"/>
    <s v="Medicare"/>
    <n v="76"/>
    <d v="1899-12-30T08:30:00"/>
    <n v="64"/>
    <n v="65"/>
    <s v="Completed"/>
    <n v="2"/>
    <s v="Yes"/>
    <n v="565"/>
  </r>
  <r>
    <s v="A1033"/>
    <s v="P2033"/>
    <d v="2026-01-08T00:00:00"/>
    <x v="2"/>
    <s v="Dr. Lee"/>
    <s v="Sick Visit"/>
    <s v="Medicaid"/>
    <n v="9"/>
    <d v="1899-12-30T09:00:00"/>
    <n v="13"/>
    <n v="30"/>
    <s v="Completed"/>
    <n v="5"/>
    <s v="No"/>
    <n v="155"/>
  </r>
  <r>
    <s v="A1034"/>
    <s v="P2034"/>
    <d v="2026-01-08T00:00:00"/>
    <x v="3"/>
    <s v="Dr. Patel"/>
    <s v="Follow-Up"/>
    <s v="Commercial"/>
    <n v="47"/>
    <d v="1899-12-30T09:30:00"/>
    <n v="43"/>
    <n v="45"/>
    <s v="Completed"/>
    <n v="4"/>
    <s v="No"/>
    <n v="295"/>
  </r>
  <r>
    <s v="A1035"/>
    <s v="P2035"/>
    <d v="2026-01-08T00:00:00"/>
    <x v="4"/>
    <s v="Dr. Morgan"/>
    <s v="New Patient"/>
    <s v="Commercial"/>
    <n v="26"/>
    <d v="1899-12-30T10:00:00"/>
    <n v="37"/>
    <n v="50"/>
    <s v="Completed"/>
    <n v="4"/>
    <s v="Yes"/>
    <n v="340"/>
  </r>
  <r>
    <s v="A1036"/>
    <s v="P2036"/>
    <d v="2026-01-08T00:00:00"/>
    <x v="0"/>
    <s v="Dr. Carter"/>
    <s v="Follow-Up"/>
    <s v="Medicare"/>
    <n v="64"/>
    <d v="1899-12-30T10:30:00"/>
    <n v="22"/>
    <n v="30"/>
    <s v="Completed"/>
    <n v="4"/>
    <s v="No"/>
    <n v="205"/>
  </r>
  <r>
    <s v="A1037"/>
    <s v="P2037"/>
    <d v="2026-01-08T00:00:00"/>
    <x v="2"/>
    <s v="Dr. Lee"/>
    <s v="Well Child"/>
    <s v="Medicaid"/>
    <n v="6"/>
    <d v="1899-12-30T11:00:00"/>
    <n v="10"/>
    <n v="25"/>
    <s v="Completed"/>
    <n v="5"/>
    <s v="No"/>
    <n v="145"/>
  </r>
  <r>
    <s v="A1038"/>
    <s v="P2038"/>
    <d v="2026-01-08T00:00:00"/>
    <x v="1"/>
    <s v="Dr. Williams"/>
    <s v="Follow-Up"/>
    <s v="Medicare"/>
    <n v="70"/>
    <d v="1899-12-30T11:30:00"/>
    <n v="57"/>
    <n v="50"/>
    <s v="Completed"/>
    <n v="3"/>
    <s v="Yes"/>
    <n v="415"/>
  </r>
  <r>
    <s v="A1039"/>
    <s v="P2039"/>
    <d v="2026-01-08T00:00:00"/>
    <x v="3"/>
    <s v="Dr. Patel"/>
    <s v="New Patient"/>
    <s v="Self-Pay"/>
    <n v="35"/>
    <d v="1899-12-30T13:00:00"/>
    <n v="46"/>
    <n v="55"/>
    <s v="Completed"/>
    <n v="3"/>
    <s v="Yes"/>
    <n v="525"/>
  </r>
  <r>
    <s v="A1040"/>
    <s v="P2040"/>
    <d v="2026-01-08T00:00:00"/>
    <x v="0"/>
    <s v="Dr. Carter"/>
    <s v="Sick Visit"/>
    <s v="Medicaid"/>
    <n v="41"/>
    <d v="1899-12-30T13:30:00"/>
    <n v="20"/>
    <n v="30"/>
    <s v="Completed"/>
    <n v="5"/>
    <s v="No"/>
    <n v="160"/>
  </r>
  <r>
    <s v="A1041"/>
    <s v="P2041"/>
    <d v="2026-01-09T00:00:00"/>
    <x v="4"/>
    <s v="Dr. Morgan"/>
    <s v="Follow-Up"/>
    <s v="Commercial"/>
    <n v="38"/>
    <d v="1899-12-30T08:00:00"/>
    <n v="32"/>
    <n v="35"/>
    <s v="Completed"/>
    <n v="4"/>
    <s v="No"/>
    <n v="235"/>
  </r>
  <r>
    <s v="A1042"/>
    <s v="P2042"/>
    <d v="2026-01-09T00:00:00"/>
    <x v="0"/>
    <s v="Dr. Carter"/>
    <s v="New Patient"/>
    <s v="Commercial"/>
    <n v="55"/>
    <d v="1899-12-30T08:30:00"/>
    <n v="41"/>
    <n v="50"/>
    <s v="Completed"/>
    <n v="3"/>
    <s v="Yes"/>
    <n v="285"/>
  </r>
  <r>
    <s v="A1043"/>
    <s v="P2043"/>
    <d v="2026-01-09T00:00:00"/>
    <x v="2"/>
    <s v="Dr. Lee"/>
    <s v="Sick Visit"/>
    <s v="Medicaid"/>
    <n v="10"/>
    <d v="1899-12-30T09:00:00"/>
    <n v="7"/>
    <n v="25"/>
    <s v="Completed"/>
    <n v="5"/>
    <s v="No"/>
    <n v="150"/>
  </r>
  <r>
    <s v="A1044"/>
    <s v="P2044"/>
    <d v="2026-01-09T00:00:00"/>
    <x v="1"/>
    <s v="Dr. Williams"/>
    <s v="Follow-Up"/>
    <s v="Medicare"/>
    <n v="81"/>
    <d v="1899-12-30T09:30:00"/>
    <n v="73"/>
    <n v="55"/>
    <s v="Completed"/>
    <n v="2"/>
    <s v="Yes"/>
    <n v="430"/>
  </r>
  <r>
    <s v="A1045"/>
    <s v="P2045"/>
    <d v="2026-01-09T00:00:00"/>
    <x v="3"/>
    <s v="Dr. Patel"/>
    <s v="Follow-Up"/>
    <s v="Commercial"/>
    <n v="49"/>
    <d v="1899-12-30T10:00:00"/>
    <n v="49"/>
    <n v="45"/>
    <s v="Completed"/>
    <n v="3"/>
    <s v="No"/>
    <n v="310"/>
  </r>
  <r>
    <s v="A1046"/>
    <s v="P2046"/>
    <d v="2026-01-09T00:00:00"/>
    <x v="0"/>
    <s v="Dr. Carter"/>
    <s v="Annual Exam"/>
    <s v="Medicaid"/>
    <n v="37"/>
    <d v="1899-12-30T10:30:00"/>
    <n v="17"/>
    <n v="35"/>
    <s v="Completed"/>
    <n v="5"/>
    <s v="No"/>
    <n v="180"/>
  </r>
  <r>
    <s v="A1047"/>
    <s v="P2047"/>
    <d v="2026-01-09T00:00:00"/>
    <x v="4"/>
    <s v="Dr. Morgan"/>
    <s v="New Patient"/>
    <s v="Self-Pay"/>
    <n v="30"/>
    <d v="1899-12-30T11:00:00"/>
    <n v="36"/>
    <n v="45"/>
    <s v="No-Show"/>
    <m/>
    <s v="Yes"/>
    <n v="320"/>
  </r>
  <r>
    <s v="A1048"/>
    <s v="P2048"/>
    <d v="2026-01-09T00:00:00"/>
    <x v="2"/>
    <s v="Dr. Lee"/>
    <s v="Well Child"/>
    <s v="Commercial"/>
    <n v="6"/>
    <d v="1899-12-30T11:30:00"/>
    <n v="12"/>
    <n v="25"/>
    <s v="Completed"/>
    <n v="5"/>
    <s v="No"/>
    <n v="165"/>
  </r>
  <r>
    <s v="A1049"/>
    <s v="P2049"/>
    <d v="2026-01-09T00:00:00"/>
    <x v="1"/>
    <s v="Dr. Williams"/>
    <s v="New Patient"/>
    <s v="Commercial"/>
    <n v="62"/>
    <d v="1899-12-30T13:00:00"/>
    <n v="54"/>
    <n v="60"/>
    <s v="Completed"/>
    <n v="3"/>
    <s v="Yes"/>
    <n v="540"/>
  </r>
  <r>
    <s v="A1050"/>
    <s v="P2050"/>
    <d v="2026-01-09T00:00:00"/>
    <x v="0"/>
    <s v="Dr. Carter"/>
    <s v="Medication Check"/>
    <s v="Medicare"/>
    <n v="68"/>
    <d v="1899-12-30T13:30:00"/>
    <n v="25"/>
    <n v="25"/>
    <s v="Completed"/>
    <n v="4"/>
    <s v="No"/>
    <n v="150"/>
  </r>
  <r>
    <s v="A1051"/>
    <s v="P2051"/>
    <d v="2026-01-12T00:00:00"/>
    <x v="3"/>
    <s v="Dr. Patel"/>
    <s v="New Patient"/>
    <s v="Medicaid"/>
    <n v="61"/>
    <d v="1899-12-30T08:00:00"/>
    <n v="78"/>
    <n v="65"/>
    <s v="Completed"/>
    <n v="2"/>
    <s v="Yes"/>
    <n v="590"/>
  </r>
  <r>
    <s v="A1052"/>
    <s v="P2052"/>
    <d v="2026-01-12T00:00:00"/>
    <x v="0"/>
    <s v="Dr. Carter"/>
    <s v="Follow-Up"/>
    <s v="Commercial"/>
    <n v="43"/>
    <d v="1899-12-30T08:30:00"/>
    <n v="23"/>
    <n v="30"/>
    <s v="Completed"/>
    <n v="4"/>
    <s v="No"/>
    <n v="195"/>
  </r>
  <r>
    <s v="A1053"/>
    <s v="P2053"/>
    <d v="2026-01-12T00:00:00"/>
    <x v="2"/>
    <s v="Dr. Lee"/>
    <s v="Sick Visit"/>
    <s v="Medicaid"/>
    <n v="12"/>
    <d v="1899-12-30T09:00:00"/>
    <n v="16"/>
    <n v="30"/>
    <s v="Completed"/>
    <n v="5"/>
    <s v="No"/>
    <n v="160"/>
  </r>
  <r>
    <s v="A1054"/>
    <s v="P2054"/>
    <d v="2026-01-12T00:00:00"/>
    <x v="1"/>
    <s v="Dr. Williams"/>
    <s v="Follow-Up"/>
    <s v="Medicare"/>
    <n v="73"/>
    <d v="1899-12-30T09:30:00"/>
    <n v="62"/>
    <n v="50"/>
    <s v="Completed"/>
    <n v="2"/>
    <s v="Yes"/>
    <n v="405"/>
  </r>
  <r>
    <s v="A1055"/>
    <s v="P2055"/>
    <d v="2026-01-12T00:00:00"/>
    <x v="4"/>
    <s v="Dr. Morgan"/>
    <s v="Follow-Up"/>
    <s v="Commercial"/>
    <n v="35"/>
    <d v="1899-12-30T10:00:00"/>
    <n v="28"/>
    <n v="35"/>
    <s v="Completed"/>
    <n v="4"/>
    <s v="No"/>
    <n v="240"/>
  </r>
  <r>
    <s v="A1056"/>
    <s v="P2056"/>
    <d v="2026-01-12T00:00:00"/>
    <x v="0"/>
    <s v="Dr. Carter"/>
    <s v="Annual Exam"/>
    <s v="Medicaid"/>
    <n v="29"/>
    <d v="1899-12-30T10:30:00"/>
    <n v="14"/>
    <n v="35"/>
    <s v="Completed"/>
    <n v="5"/>
    <s v="No"/>
    <n v="175"/>
  </r>
  <r>
    <s v="A1057"/>
    <s v="P2057"/>
    <d v="2026-01-12T00:00:00"/>
    <x v="2"/>
    <s v="Dr. Lee"/>
    <s v="Well Child"/>
    <s v="Medicaid"/>
    <n v="3"/>
    <d v="1899-12-30T11:00:00"/>
    <n v="6"/>
    <n v="25"/>
    <s v="Completed"/>
    <n v="5"/>
    <s v="No"/>
    <n v="135"/>
  </r>
  <r>
    <s v="A1058"/>
    <s v="P2058"/>
    <d v="2026-01-12T00:00:00"/>
    <x v="3"/>
    <s v="Dr. Patel"/>
    <s v="Follow-Up"/>
    <s v="Commercial"/>
    <n v="54"/>
    <d v="1899-12-30T11:30:00"/>
    <n v="44"/>
    <n v="45"/>
    <s v="Completed"/>
    <n v="3"/>
    <s v="No"/>
    <n v="300"/>
  </r>
  <r>
    <s v="A1059"/>
    <s v="P2059"/>
    <d v="2026-01-12T00:00:00"/>
    <x v="1"/>
    <s v="Dr. Williams"/>
    <s v="New Patient"/>
    <s v="Medicare"/>
    <n v="77"/>
    <d v="1899-12-30T13:00:00"/>
    <n v="69"/>
    <n v="65"/>
    <s v="Completed"/>
    <n v="2"/>
    <s v="Yes"/>
    <n v="575"/>
  </r>
  <r>
    <s v="A1060"/>
    <s v="P2060"/>
    <d v="2026-01-12T00:00:00"/>
    <x v="4"/>
    <s v="Dr. Morgan"/>
    <s v="New Patient"/>
    <s v="Commercial"/>
    <n v="46"/>
    <d v="1899-12-30T13:30:00"/>
    <n v="38"/>
    <n v="50"/>
    <s v="Completed"/>
    <n v="4"/>
    <s v="Yes"/>
    <n v="350"/>
  </r>
  <r>
    <s v="A1061"/>
    <s v="P2061"/>
    <d v="2026-01-13T00:00:00"/>
    <x v="0"/>
    <s v="Dr. Carter"/>
    <s v="Sick Visit"/>
    <s v="Medicaid"/>
    <n v="22"/>
    <d v="1899-12-30T08:00:00"/>
    <n v="19"/>
    <n v="30"/>
    <s v="Completed"/>
    <n v="4"/>
    <s v="No"/>
    <n v="160"/>
  </r>
  <r>
    <s v="A1062"/>
    <s v="P2062"/>
    <d v="2026-01-13T00:00:00"/>
    <x v="1"/>
    <s v="Dr. Williams"/>
    <s v="Annual Exam"/>
    <s v="Medicare"/>
    <n v="66"/>
    <d v="1899-12-30T08:30:00"/>
    <n v="48"/>
    <n v="50"/>
    <s v="Completed"/>
    <n v="3"/>
    <s v="No"/>
    <n v="395"/>
  </r>
  <r>
    <s v="A1063"/>
    <s v="P2063"/>
    <d v="2026-01-13T00:00:00"/>
    <x v="2"/>
    <s v="Dr. Lee"/>
    <s v="Well Child"/>
    <s v="Commercial"/>
    <n v="7"/>
    <d v="1899-12-30T09:00:00"/>
    <n v="10"/>
    <n v="25"/>
    <s v="Completed"/>
    <n v="5"/>
    <s v="No"/>
    <n v="150"/>
  </r>
  <r>
    <s v="A1064"/>
    <s v="P2064"/>
    <d v="2026-01-13T00:00:00"/>
    <x v="3"/>
    <s v="Dr. Patel"/>
    <s v="Follow-Up"/>
    <s v="Medicaid"/>
    <n v="42"/>
    <d v="1899-12-30T09:30:00"/>
    <n v="58"/>
    <n v="45"/>
    <s v="Completed"/>
    <n v="3"/>
    <s v="No"/>
    <n v="285"/>
  </r>
  <r>
    <s v="A1065"/>
    <s v="P2065"/>
    <d v="2026-01-13T00:00:00"/>
    <x v="4"/>
    <s v="Dr. Morgan"/>
    <s v="New Patient"/>
    <s v="Commercial"/>
    <n v="31"/>
    <d v="1899-12-30T10:00:00"/>
    <n v="33"/>
    <n v="50"/>
    <s v="Completed"/>
    <n v="4"/>
    <s v="Yes"/>
    <n v="335"/>
  </r>
  <r>
    <s v="A1066"/>
    <s v="P2066"/>
    <d v="2026-01-13T00:00:00"/>
    <x v="0"/>
    <s v="Dr. Carter"/>
    <s v="Medication Check"/>
    <s v="Medicare"/>
    <n v="75"/>
    <d v="1899-12-30T10:30:00"/>
    <n v="26"/>
    <n v="25"/>
    <s v="Completed"/>
    <n v="4"/>
    <s v="No"/>
    <n v="145"/>
  </r>
  <r>
    <s v="A1067"/>
    <s v="P2067"/>
    <d v="2026-01-13T00:00:00"/>
    <x v="2"/>
    <s v="Dr. Lee"/>
    <s v="Sick Visit"/>
    <s v="Medicaid"/>
    <n v="14"/>
    <d v="1899-12-30T11:00:00"/>
    <n v="18"/>
    <n v="30"/>
    <s v="Completed"/>
    <n v="5"/>
    <s v="No"/>
    <n v="165"/>
  </r>
  <r>
    <s v="A1068"/>
    <s v="P2068"/>
    <d v="2026-01-13T00:00:00"/>
    <x v="1"/>
    <s v="Dr. Williams"/>
    <s v="Follow-Up"/>
    <s v="Commercial"/>
    <n v="57"/>
    <d v="1899-12-30T11:30:00"/>
    <n v="52"/>
    <n v="45"/>
    <s v="Completed"/>
    <n v="3"/>
    <s v="Yes"/>
    <n v="375"/>
  </r>
  <r>
    <s v="A1069"/>
    <s v="P2069"/>
    <d v="2026-01-13T00:00:00"/>
    <x v="3"/>
    <s v="Dr. Patel"/>
    <s v="New Patient"/>
    <s v="Medicare"/>
    <n v="69"/>
    <d v="1899-12-30T13:00:00"/>
    <n v="71"/>
    <n v="60"/>
    <s v="Completed"/>
    <n v="2"/>
    <s v="Yes"/>
    <n v="605"/>
  </r>
  <r>
    <s v="A1070"/>
    <s v="P2070"/>
    <d v="2026-01-13T00:00:00"/>
    <x v="0"/>
    <s v="Dr. Carter"/>
    <s v="Follow-Up"/>
    <s v="Commercial"/>
    <n v="40"/>
    <d v="1899-12-30T13:30:00"/>
    <n v="22"/>
    <n v="30"/>
    <s v="Cancelled"/>
    <m/>
    <s v="No"/>
    <n v="195"/>
  </r>
  <r>
    <s v="A1071"/>
    <s v="P2071"/>
    <d v="2026-01-14T00:00:00"/>
    <x v="4"/>
    <s v="Dr. Morgan"/>
    <s v="Follow-Up"/>
    <s v="Commercial"/>
    <n v="44"/>
    <d v="1899-12-30T08:00:00"/>
    <n v="31"/>
    <n v="35"/>
    <s v="Completed"/>
    <n v="4"/>
    <s v="No"/>
    <n v="245"/>
  </r>
  <r>
    <s v="A1072"/>
    <s v="P2072"/>
    <d v="2026-01-14T00:00:00"/>
    <x v="0"/>
    <s v="Dr. Carter"/>
    <s v="New Patient"/>
    <s v="Medicaid"/>
    <n v="58"/>
    <d v="1899-12-30T08:30:00"/>
    <n v="36"/>
    <n v="50"/>
    <s v="Completed"/>
    <n v="4"/>
    <s v="Yes"/>
    <n v="280"/>
  </r>
  <r>
    <s v="A1073"/>
    <s v="P2073"/>
    <d v="2026-01-14T00:00:00"/>
    <x v="2"/>
    <s v="Dr. Lee"/>
    <s v="Sick Visit"/>
    <s v="Medicaid"/>
    <n v="9"/>
    <d v="1899-12-30T09:00:00"/>
    <n v="11"/>
    <n v="30"/>
    <s v="Completed"/>
    <n v="5"/>
    <s v="No"/>
    <n v="155"/>
  </r>
  <r>
    <s v="A1074"/>
    <s v="P2074"/>
    <d v="2026-01-14T00:00:00"/>
    <x v="1"/>
    <s v="Dr. Williams"/>
    <s v="Follow-Up"/>
    <s v="Medicare"/>
    <n v="79"/>
    <d v="1899-12-30T09:30:00"/>
    <n v="66"/>
    <n v="55"/>
    <s v="Completed"/>
    <n v="2"/>
    <s v="Yes"/>
    <n v="425"/>
  </r>
  <r>
    <s v="A1075"/>
    <s v="P2075"/>
    <d v="2026-01-14T00:00:00"/>
    <x v="3"/>
    <s v="Dr. Patel"/>
    <s v="Follow-Up"/>
    <s v="Commercial"/>
    <n v="51"/>
    <d v="1899-12-30T10:00:00"/>
    <n v="47"/>
    <n v="45"/>
    <s v="Completed"/>
    <n v="3"/>
    <s v="No"/>
    <n v="305"/>
  </r>
  <r>
    <s v="A1076"/>
    <s v="P2076"/>
    <d v="2026-01-14T00:00:00"/>
    <x v="0"/>
    <s v="Dr. Carter"/>
    <s v="Annual Exam"/>
    <s v="Commercial"/>
    <n v="33"/>
    <d v="1899-12-30T10:30:00"/>
    <n v="18"/>
    <n v="35"/>
    <s v="Completed"/>
    <n v="5"/>
    <s v="No"/>
    <n v="190"/>
  </r>
  <r>
    <s v="A1077"/>
    <s v="P2077"/>
    <d v="2026-01-14T00:00:00"/>
    <x v="2"/>
    <s v="Dr. Lee"/>
    <s v="Well Child"/>
    <s v="Medicaid"/>
    <n v="5"/>
    <d v="1899-12-30T11:00:00"/>
    <n v="8"/>
    <n v="25"/>
    <s v="Completed"/>
    <n v="5"/>
    <s v="No"/>
    <n v="140"/>
  </r>
  <r>
    <s v="A1078"/>
    <s v="P2078"/>
    <d v="2026-01-14T00:00:00"/>
    <x v="1"/>
    <s v="Dr. Williams"/>
    <s v="New Patient"/>
    <s v="Commercial"/>
    <n v="60"/>
    <d v="1899-12-30T11:30:00"/>
    <n v="59"/>
    <n v="60"/>
    <s v="Completed"/>
    <n v="3"/>
    <s v="Yes"/>
    <n v="535"/>
  </r>
  <r>
    <s v="A1079"/>
    <s v="P2079"/>
    <d v="2026-01-14T00:00:00"/>
    <x v="4"/>
    <s v="Dr. Morgan"/>
    <s v="New Patient"/>
    <s v="Self-Pay"/>
    <n v="28"/>
    <d v="1899-12-30T13:00:00"/>
    <n v="42"/>
    <n v="50"/>
    <s v="Completed"/>
    <n v="3"/>
    <s v="Yes"/>
    <n v="345"/>
  </r>
  <r>
    <s v="A1080"/>
    <s v="P2080"/>
    <d v="2026-01-14T00:00:00"/>
    <x v="0"/>
    <s v="Dr. Carter"/>
    <s v="Follow-Up"/>
    <s v="Medicare"/>
    <n v="63"/>
    <d v="1899-12-30T13:30:00"/>
    <n v="24"/>
    <n v="30"/>
    <s v="Completed"/>
    <n v="4"/>
    <s v="No"/>
    <n v="205"/>
  </r>
  <r>
    <s v="A1081"/>
    <s v="P2081"/>
    <d v="2026-01-15T00:00:00"/>
    <x v="3"/>
    <s v="Dr. Patel"/>
    <s v="New Patient"/>
    <s v="Commercial"/>
    <n v="57"/>
    <d v="1899-12-30T08:00:00"/>
    <n v="63"/>
    <n v="65"/>
    <s v="Completed"/>
    <n v="2"/>
    <s v="Yes"/>
    <n v="595"/>
  </r>
  <r>
    <s v="A1082"/>
    <s v="P2082"/>
    <d v="2026-01-15T00:00:00"/>
    <x v="0"/>
    <s v="Dr. Carter"/>
    <s v="Sick Visit"/>
    <s v="Medicaid"/>
    <n v="26"/>
    <d v="1899-12-30T08:30:00"/>
    <n v="21"/>
    <n v="30"/>
    <s v="Completed"/>
    <n v="5"/>
    <s v="No"/>
    <n v="160"/>
  </r>
  <r>
    <s v="A1083"/>
    <s v="P2083"/>
    <d v="2026-01-15T00:00:00"/>
    <x v="2"/>
    <s v="Dr. Lee"/>
    <s v="Well Child"/>
    <s v="Medicaid"/>
    <n v="8"/>
    <d v="1899-12-30T09:00:00"/>
    <n v="9"/>
    <n v="25"/>
    <s v="Completed"/>
    <n v="5"/>
    <s v="No"/>
    <n v="145"/>
  </r>
  <r>
    <s v="A1084"/>
    <s v="P2084"/>
    <d v="2026-01-15T00:00:00"/>
    <x v="1"/>
    <s v="Dr. Williams"/>
    <s v="Follow-Up"/>
    <s v="Medicare"/>
    <n v="72"/>
    <d v="1899-12-30T09:30:00"/>
    <n v="55"/>
    <n v="50"/>
    <s v="Completed"/>
    <n v="3"/>
    <s v="Yes"/>
    <n v="415"/>
  </r>
  <r>
    <s v="A1085"/>
    <s v="P2085"/>
    <d v="2026-01-15T00:00:00"/>
    <x v="4"/>
    <s v="Dr. Morgan"/>
    <s v="Follow-Up"/>
    <s v="Commercial"/>
    <n v="39"/>
    <d v="1899-12-30T10:00:00"/>
    <n v="29"/>
    <n v="35"/>
    <s v="Completed"/>
    <n v="4"/>
    <s v="No"/>
    <n v="240"/>
  </r>
  <r>
    <s v="A1086"/>
    <s v="P2086"/>
    <d v="2026-01-15T00:00:00"/>
    <x v="0"/>
    <s v="Dr. Carter"/>
    <s v="Annual Exam"/>
    <s v="Commercial"/>
    <n v="48"/>
    <d v="1899-12-30T10:30:00"/>
    <n v="16"/>
    <n v="35"/>
    <s v="Completed"/>
    <n v="5"/>
    <s v="No"/>
    <n v="190"/>
  </r>
  <r>
    <s v="A1087"/>
    <s v="P2087"/>
    <d v="2026-01-15T00:00:00"/>
    <x v="2"/>
    <s v="Dr. Lee"/>
    <s v="Sick Visit"/>
    <s v="Medicaid"/>
    <n v="13"/>
    <d v="1899-12-30T11:00:00"/>
    <n v="15"/>
    <n v="30"/>
    <s v="Completed"/>
    <n v="5"/>
    <s v="No"/>
    <n v="160"/>
  </r>
  <r>
    <s v="A1088"/>
    <s v="P2088"/>
    <d v="2026-01-15T00:00:00"/>
    <x v="1"/>
    <s v="Dr. Williams"/>
    <s v="New Patient"/>
    <s v="Medicare"/>
    <n v="80"/>
    <d v="1899-12-30T11:30:00"/>
    <n v="76"/>
    <n v="65"/>
    <s v="Completed"/>
    <n v="2"/>
    <s v="Yes"/>
    <n v="590"/>
  </r>
  <r>
    <s v="A1089"/>
    <s v="P2089"/>
    <d v="2026-01-15T00:00:00"/>
    <x v="3"/>
    <s v="Dr. Patel"/>
    <s v="Follow-Up"/>
    <s v="Commercial"/>
    <n v="46"/>
    <d v="1899-12-30T13:00:00"/>
    <n v="51"/>
    <n v="45"/>
    <s v="No-Show"/>
    <m/>
    <s v="No"/>
    <n v="295"/>
  </r>
  <r>
    <s v="A1090"/>
    <s v="P2090"/>
    <d v="2026-01-15T00:00:00"/>
    <x v="0"/>
    <s v="Dr. Carter"/>
    <s v="Medication Check"/>
    <s v="Medicaid"/>
    <n v="59"/>
    <d v="1899-12-30T13:30:00"/>
    <n v="28"/>
    <n v="25"/>
    <s v="Completed"/>
    <n v="4"/>
    <s v="No"/>
    <n v="145"/>
  </r>
  <r>
    <s v="A1091"/>
    <s v="P2091"/>
    <d v="2026-01-16T00:00:00"/>
    <x v="4"/>
    <s v="Dr. Morgan"/>
    <s v="New Patient"/>
    <s v="Commercial"/>
    <n v="34"/>
    <d v="1899-12-30T08:00:00"/>
    <n v="40"/>
    <n v="50"/>
    <s v="Completed"/>
    <n v="3"/>
    <s v="Yes"/>
    <n v="350"/>
  </r>
  <r>
    <s v="A1092"/>
    <s v="P2092"/>
    <d v="2026-01-16T00:00:00"/>
    <x v="0"/>
    <s v="Dr. Carter"/>
    <s v="Follow-Up"/>
    <s v="Medicare"/>
    <n v="70"/>
    <d v="1899-12-30T08:30:00"/>
    <n v="20"/>
    <n v="30"/>
    <s v="Completed"/>
    <n v="4"/>
    <s v="No"/>
    <n v="200"/>
  </r>
  <r>
    <s v="A1093"/>
    <s v="P2093"/>
    <d v="2026-01-16T00:00:00"/>
    <x v="2"/>
    <s v="Dr. Lee"/>
    <s v="Well Child"/>
    <s v="Medicaid"/>
    <n v="4"/>
    <d v="1899-12-30T09:00:00"/>
    <n v="7"/>
    <n v="25"/>
    <s v="Completed"/>
    <n v="5"/>
    <s v="No"/>
    <n v="140"/>
  </r>
  <r>
    <s v="A1094"/>
    <s v="P2094"/>
    <d v="2026-01-16T00:00:00"/>
    <x v="1"/>
    <s v="Dr. Williams"/>
    <s v="Follow-Up"/>
    <s v="Medicare"/>
    <n v="68"/>
    <d v="1899-12-30T09:30:00"/>
    <n v="49"/>
    <n v="50"/>
    <s v="Completed"/>
    <n v="3"/>
    <s v="Yes"/>
    <n v="405"/>
  </r>
  <r>
    <s v="A1095"/>
    <s v="P2095"/>
    <d v="2026-01-16T00:00:00"/>
    <x v="3"/>
    <s v="Dr. Patel"/>
    <s v="New Patient"/>
    <s v="Medicaid"/>
    <n v="63"/>
    <d v="1899-12-30T10:00:00"/>
    <n v="74"/>
    <n v="65"/>
    <s v="Completed"/>
    <n v="2"/>
    <s v="Yes"/>
    <n v="600"/>
  </r>
  <r>
    <s v="A1096"/>
    <s v="P2096"/>
    <d v="2026-01-16T00:00:00"/>
    <x v="0"/>
    <s v="Dr. Carter"/>
    <s v="Sick Visit"/>
    <s v="Commercial"/>
    <n v="37"/>
    <d v="1899-12-30T10:30:00"/>
    <n v="23"/>
    <n v="30"/>
    <s v="Completed"/>
    <n v="4"/>
    <s v="No"/>
    <n v="170"/>
  </r>
  <r>
    <s v="A1097"/>
    <s v="P2097"/>
    <d v="2026-01-16T00:00:00"/>
    <x v="2"/>
    <s v="Dr. Lee"/>
    <s v="Sick Visit"/>
    <s v="Medicaid"/>
    <n v="15"/>
    <d v="1899-12-30T11:00:00"/>
    <n v="13"/>
    <n v="30"/>
    <s v="Completed"/>
    <n v="5"/>
    <s v="No"/>
    <n v="165"/>
  </r>
  <r>
    <s v="A1098"/>
    <s v="P2098"/>
    <d v="2026-01-16T00:00:00"/>
    <x v="4"/>
    <s v="Dr. Morgan"/>
    <s v="Follow-Up"/>
    <s v="Commercial"/>
    <n v="45"/>
    <d v="1899-12-30T11:30:00"/>
    <n v="35"/>
    <n v="35"/>
    <s v="Completed"/>
    <n v="4"/>
    <s v="No"/>
    <n v="235"/>
  </r>
  <r>
    <s v="A1099"/>
    <s v="P2099"/>
    <d v="2026-01-16T00:00:00"/>
    <x v="1"/>
    <s v="Dr. Williams"/>
    <s v="New Patient"/>
    <s v="Commercial"/>
    <n v="56"/>
    <d v="1899-12-30T13:00:00"/>
    <n v="58"/>
    <n v="60"/>
    <s v="Completed"/>
    <n v="3"/>
    <s v="Yes"/>
    <n v="525"/>
  </r>
  <r>
    <s v="A1100"/>
    <s v="P2100"/>
    <d v="2026-01-16T00:00:00"/>
    <x v="0"/>
    <s v="Dr. Carter"/>
    <s v="Annual Exam"/>
    <s v="Medicaid"/>
    <n v="32"/>
    <d v="1899-12-30T13:30:00"/>
    <n v="17"/>
    <n v="35"/>
    <s v="Completed"/>
    <n v="5"/>
    <s v="No"/>
    <n v="180"/>
  </r>
  <r>
    <m/>
    <m/>
    <m/>
    <x v="5"/>
    <m/>
    <m/>
    <m/>
    <m/>
    <m/>
    <m/>
    <m/>
    <m/>
    <m/>
    <m/>
    <m/>
  </r>
  <r>
    <m/>
    <m/>
    <m/>
    <x v="5"/>
    <m/>
    <m/>
    <m/>
    <m/>
    <m/>
    <m/>
    <m/>
    <m/>
    <m/>
    <m/>
    <m/>
  </r>
  <r>
    <m/>
    <m/>
    <m/>
    <x v="5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B313C-39EC-4F55-8614-886FE72A3BE6}" name="PivotTable6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D9" firstHeaderRow="0" firstDataRow="1" firstDataCol="1"/>
  <pivotFields count="15">
    <pivotField dataField="1"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 avgSubtotal="1"/>
    <pivotField showAll="0"/>
    <pivotField showAll="0"/>
    <pivotField dataField="1" showAll="0" avgSubtotal="1"/>
    <pivotField showAll="0"/>
    <pivotField showAll="0" avgSubtotal="1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tisfaction_Score" fld="12" subtotal="average" baseField="3" baseItem="0"/>
    <dataField name="Average of Wait_Time_Minutes" fld="9" subtotal="average" baseField="3" baseItem="3"/>
    <dataField name="Count of Appointment_ID" fld="0" subtotal="count" baseField="0" baseItem="0"/>
  </dataFields>
  <chartFormats count="5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44BB8-E2FF-4A4B-B66C-C092556226C8}" name="PivotTable5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5"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tisfaction_Score" fld="12" subtotal="average" baseField="3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08FA0-B392-460F-B740-628D357FFA03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15">
    <pivotField dataField="1"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ppointment_ID" fld="0" subtotal="count" baseField="0" baseItem="0"/>
    <dataField name="Average of Wait_Time_Minutes" fld="9" subtotal="average" baseField="4" baseItem="0"/>
    <dataField name="Average of Satisfaction_Score" fld="12" subtotal="average" baseField="4" baseItem="0"/>
    <dataField name="Average of Billing_Amount" fld="14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C106D-5EBD-4A15-9334-91396D78444E}" name="PivotTable7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C10" firstHeaderRow="0" firstDataRow="1" firstDataCol="1"/>
  <pivotFields count="15">
    <pivotField showAll="0"/>
    <pivotField showAll="0"/>
    <pivotField numFmtId="14" showAll="0"/>
    <pivotField showAll="0"/>
    <pivotField showAll="0"/>
    <pivotField axis="axisRow" dataField="1" showAll="0">
      <items count="7">
        <item x="0"/>
        <item x="1"/>
        <item x="5"/>
        <item x="3"/>
        <item x="2"/>
        <item x="4"/>
        <item t="default"/>
      </items>
    </pivotField>
    <pivotField showAll="0"/>
    <pivotField showAll="0"/>
    <pivotField numFmtId="20"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ait_Time_Minutes" fld="9" subtotal="average" baseField="5" baseItem="0"/>
    <dataField name="Count of Appointment_Type" fld="5" subtotal="count" baseField="0" baseItem="0"/>
  </dataFields>
  <chartFormats count="6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D68C1-6BE0-4916-8397-E35CAC19E017}" name="PivotTable8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5">
    <pivotField showAll="0"/>
    <pivotField showAll="0"/>
    <pivotField showAll="0"/>
    <pivotField axis="axisRow" showAll="0">
      <items count="7">
        <item x="1"/>
        <item x="4"/>
        <item x="3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tisfaction_Score" fld="12" subtotal="average" baseField="3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93F9A-1944-4DF6-9F62-79A518DBFDC8}" name="PivotTable2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B3262-5E97-4A3C-9D4D-4B977BF1B51C}" name="Table1" displayName="Table1" ref="A1:Q102" totalsRowShown="0" headerRowDxfId="2" dataDxfId="3">
  <autoFilter ref="A1:Q102" xr:uid="{28AB3262-5E97-4A3C-9D4D-4B977BF1B51C}">
    <filterColumn colId="3">
      <customFilters>
        <customFilter operator="notEqual" val=" "/>
      </customFilters>
    </filterColumn>
  </autoFilter>
  <tableColumns count="17">
    <tableColumn id="1" xr3:uid="{637B49A1-D5CB-4354-AB34-6EA4703E3BE4}" name="Appointment_ID" dataDxfId="18"/>
    <tableColumn id="2" xr3:uid="{D2F03B1A-B1FC-4B17-9ADB-7139F78B66D5}" name="Patient_ID" dataDxfId="17"/>
    <tableColumn id="3" xr3:uid="{4B111BCA-E342-443F-AEC6-D048B204F9CA}" name="Appointment_Date" dataDxfId="16"/>
    <tableColumn id="4" xr3:uid="{1DF44502-2E28-418D-8EED-D2F70BCD87CB}" name="Department" dataDxfId="15"/>
    <tableColumn id="5" xr3:uid="{DB7C2D27-17E5-4824-A604-F1590B47B1CB}" name="Provider" dataDxfId="14"/>
    <tableColumn id="6" xr3:uid="{57614AAA-B111-4338-94C7-5ECE1340F569}" name="Appointment_Type" dataDxfId="13"/>
    <tableColumn id="7" xr3:uid="{D1555561-217A-450C-A67C-D8847D37D97E}" name="Insurance_Type" dataDxfId="12"/>
    <tableColumn id="8" xr3:uid="{5CF4363C-D015-4A11-B843-9BAED87F3F03}" name="Patient_Age" dataDxfId="11"/>
    <tableColumn id="9" xr3:uid="{E9A7D569-2D7D-486A-8A9A-B069D2387783}" name="Appointment_Time" dataDxfId="10"/>
    <tableColumn id="10" xr3:uid="{4A0AE7CC-C635-4068-AB5D-4C5CB6585C2D}" name="Wait_Time_Minutes" dataDxfId="9"/>
    <tableColumn id="11" xr3:uid="{6A74F609-97B8-42D5-93C3-D3D4FA1F2446}" name="Appointment_Duration_Minutes" dataDxfId="8"/>
    <tableColumn id="12" xr3:uid="{DEA271CA-D3C0-4598-BE53-EA220A59E3DA}" name="Status" dataDxfId="7"/>
    <tableColumn id="13" xr3:uid="{CC029349-89E8-4998-829B-78345C8E1537}" name="Satisfaction_Score" dataDxfId="6"/>
    <tableColumn id="14" xr3:uid="{9AA45D58-8B23-40D2-BBBF-5AA14D3EE0F8}" name="Referral" dataDxfId="5"/>
    <tableColumn id="15" xr3:uid="{1C75F758-65E7-402D-AB07-121656F6F78D}" name="Billing_Amount" dataDxfId="4"/>
    <tableColumn id="16" xr3:uid="{D16FEE7F-05AB-46BC-BCF8-FBEF550011EF}" name="Column1" dataDxfId="1"/>
    <tableColumn id="17" xr3:uid="{AD1F2EFE-D65C-493D-BAC3-D15388F966DE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090B-D2C6-4248-90A3-039E199C3177}">
  <dimension ref="A1:O101"/>
  <sheetViews>
    <sheetView topLeftCell="A77" workbookViewId="0">
      <selection activeCell="B104" sqref="B104"/>
    </sheetView>
  </sheetViews>
  <sheetFormatPr defaultRowHeight="15" x14ac:dyDescent="0.25"/>
  <cols>
    <col min="1" max="1" width="15.140625" style="2" bestFit="1" customWidth="1"/>
    <col min="2" max="2" width="9.85546875" style="2" bestFit="1" customWidth="1"/>
    <col min="3" max="3" width="17.42578125" style="2" bestFit="1" customWidth="1"/>
    <col min="4" max="4" width="12.28515625" style="2" bestFit="1" customWidth="1"/>
    <col min="5" max="5" width="11.85546875" style="2" bestFit="1" customWidth="1"/>
    <col min="6" max="6" width="17.42578125" style="2" bestFit="1" customWidth="1"/>
    <col min="7" max="7" width="14.85546875" style="2" bestFit="1" customWidth="1"/>
    <col min="8" max="8" width="11.140625" style="2" bestFit="1" customWidth="1"/>
    <col min="9" max="9" width="17.7109375" style="2" bestFit="1" customWidth="1"/>
    <col min="10" max="10" width="18.28515625" style="2" bestFit="1" customWidth="1"/>
    <col min="11" max="11" width="29.28515625" style="2" bestFit="1" customWidth="1"/>
    <col min="12" max="12" width="10.42578125" style="2" bestFit="1" customWidth="1"/>
    <col min="13" max="13" width="17.42578125" style="2" bestFit="1" customWidth="1"/>
    <col min="14" max="14" width="7.85546875" style="2" bestFit="1" customWidth="1"/>
    <col min="15" max="15" width="14.42578125" style="2" bestFit="1" customWidth="1"/>
    <col min="16" max="16384" width="9.140625" style="2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2" t="s">
        <v>15</v>
      </c>
      <c r="B2" s="2" t="s">
        <v>16</v>
      </c>
      <c r="C2" s="3">
        <v>46027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34</v>
      </c>
      <c r="I2" s="4">
        <v>0.33333333333333331</v>
      </c>
      <c r="J2" s="2">
        <v>18</v>
      </c>
      <c r="K2" s="2">
        <v>35</v>
      </c>
      <c r="L2" s="2" t="s">
        <v>21</v>
      </c>
      <c r="M2" s="2">
        <v>5</v>
      </c>
      <c r="N2" s="2" t="s">
        <v>22</v>
      </c>
      <c r="O2" s="2">
        <v>185</v>
      </c>
    </row>
    <row r="3" spans="1:15" x14ac:dyDescent="0.25">
      <c r="A3" s="2" t="s">
        <v>23</v>
      </c>
      <c r="B3" s="2" t="s">
        <v>24</v>
      </c>
      <c r="C3" s="3">
        <v>46027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67</v>
      </c>
      <c r="I3" s="4">
        <v>0.35416666666666669</v>
      </c>
      <c r="J3" s="2">
        <v>42</v>
      </c>
      <c r="K3" s="2">
        <v>50</v>
      </c>
      <c r="L3" s="2" t="s">
        <v>21</v>
      </c>
      <c r="M3" s="2">
        <v>3</v>
      </c>
      <c r="N3" s="2" t="s">
        <v>29</v>
      </c>
      <c r="O3" s="2">
        <v>420</v>
      </c>
    </row>
    <row r="4" spans="1:15" x14ac:dyDescent="0.25">
      <c r="A4" s="2" t="s">
        <v>30</v>
      </c>
      <c r="B4" s="2" t="s">
        <v>31</v>
      </c>
      <c r="C4" s="3">
        <v>46027</v>
      </c>
      <c r="D4" s="2" t="s">
        <v>32</v>
      </c>
      <c r="E4" s="2" t="s">
        <v>33</v>
      </c>
      <c r="F4" s="2" t="s">
        <v>34</v>
      </c>
      <c r="G4" s="2" t="s">
        <v>20</v>
      </c>
      <c r="H4" s="2">
        <v>8</v>
      </c>
      <c r="I4" s="4">
        <v>0.375</v>
      </c>
      <c r="J4" s="2">
        <v>12</v>
      </c>
      <c r="K4" s="2">
        <v>30</v>
      </c>
      <c r="L4" s="2" t="s">
        <v>21</v>
      </c>
      <c r="M4" s="2">
        <v>5</v>
      </c>
      <c r="N4" s="2" t="s">
        <v>22</v>
      </c>
      <c r="O4" s="2">
        <v>160</v>
      </c>
    </row>
    <row r="5" spans="1:15" x14ac:dyDescent="0.25">
      <c r="A5" s="2" t="s">
        <v>35</v>
      </c>
      <c r="B5" s="2" t="s">
        <v>36</v>
      </c>
      <c r="C5" s="3">
        <v>46027</v>
      </c>
      <c r="D5" s="2" t="s">
        <v>37</v>
      </c>
      <c r="E5" s="2" t="s">
        <v>38</v>
      </c>
      <c r="F5" s="2" t="s">
        <v>39</v>
      </c>
      <c r="G5" s="2" t="s">
        <v>40</v>
      </c>
      <c r="H5" s="2">
        <v>52</v>
      </c>
      <c r="I5" s="4">
        <v>0.39583333333333331</v>
      </c>
      <c r="J5" s="2">
        <v>55</v>
      </c>
      <c r="K5" s="2">
        <v>60</v>
      </c>
      <c r="L5" s="2" t="s">
        <v>21</v>
      </c>
      <c r="M5" s="2">
        <v>2</v>
      </c>
      <c r="N5" s="2" t="s">
        <v>29</v>
      </c>
      <c r="O5" s="2">
        <v>575</v>
      </c>
    </row>
    <row r="6" spans="1:15" x14ac:dyDescent="0.25">
      <c r="A6" s="2" t="s">
        <v>41</v>
      </c>
      <c r="B6" s="2" t="s">
        <v>42</v>
      </c>
      <c r="C6" s="3">
        <v>46027</v>
      </c>
      <c r="D6" s="2" t="s">
        <v>17</v>
      </c>
      <c r="E6" s="2" t="s">
        <v>18</v>
      </c>
      <c r="F6" s="2" t="s">
        <v>27</v>
      </c>
      <c r="G6" s="2" t="s">
        <v>40</v>
      </c>
      <c r="H6" s="2">
        <v>45</v>
      </c>
      <c r="I6" s="4">
        <v>0.41666666666666669</v>
      </c>
      <c r="J6" s="2">
        <v>21</v>
      </c>
      <c r="K6" s="2">
        <v>30</v>
      </c>
      <c r="L6" s="2" t="s">
        <v>21</v>
      </c>
      <c r="M6" s="2">
        <v>4</v>
      </c>
      <c r="N6" s="2" t="s">
        <v>22</v>
      </c>
      <c r="O6" s="2">
        <v>210</v>
      </c>
    </row>
    <row r="7" spans="1:15" x14ac:dyDescent="0.25">
      <c r="A7" s="2" t="s">
        <v>43</v>
      </c>
      <c r="B7" s="2" t="s">
        <v>44</v>
      </c>
      <c r="C7" s="3">
        <v>46027</v>
      </c>
      <c r="D7" s="2" t="s">
        <v>45</v>
      </c>
      <c r="E7" s="2" t="s">
        <v>46</v>
      </c>
      <c r="F7" s="2" t="s">
        <v>39</v>
      </c>
      <c r="G7" s="2" t="s">
        <v>40</v>
      </c>
      <c r="H7" s="2">
        <v>29</v>
      </c>
      <c r="I7" s="4">
        <v>0.4375</v>
      </c>
      <c r="J7" s="2">
        <v>35</v>
      </c>
      <c r="K7" s="2">
        <v>45</v>
      </c>
      <c r="L7" s="2" t="s">
        <v>21</v>
      </c>
      <c r="M7" s="2">
        <v>4</v>
      </c>
      <c r="N7" s="2" t="s">
        <v>29</v>
      </c>
      <c r="O7" s="2">
        <v>315</v>
      </c>
    </row>
    <row r="8" spans="1:15" x14ac:dyDescent="0.25">
      <c r="A8" s="2" t="s">
        <v>47</v>
      </c>
      <c r="B8" s="2" t="s">
        <v>48</v>
      </c>
      <c r="C8" s="3">
        <v>46027</v>
      </c>
      <c r="D8" s="2" t="s">
        <v>32</v>
      </c>
      <c r="E8" s="2" t="s">
        <v>33</v>
      </c>
      <c r="F8" s="2" t="s">
        <v>49</v>
      </c>
      <c r="G8" s="2" t="s">
        <v>20</v>
      </c>
      <c r="H8" s="2">
        <v>5</v>
      </c>
      <c r="I8" s="4">
        <v>0.45833333333333331</v>
      </c>
      <c r="J8" s="2">
        <v>9</v>
      </c>
      <c r="K8" s="2">
        <v>25</v>
      </c>
      <c r="L8" s="2" t="s">
        <v>21</v>
      </c>
      <c r="M8" s="2">
        <v>5</v>
      </c>
      <c r="N8" s="2" t="s">
        <v>22</v>
      </c>
      <c r="O8" s="2">
        <v>145</v>
      </c>
    </row>
    <row r="9" spans="1:15" x14ac:dyDescent="0.25">
      <c r="A9" s="2" t="s">
        <v>50</v>
      </c>
      <c r="B9" s="2" t="s">
        <v>51</v>
      </c>
      <c r="C9" s="3">
        <v>46027</v>
      </c>
      <c r="D9" s="2" t="s">
        <v>25</v>
      </c>
      <c r="E9" s="2" t="s">
        <v>26</v>
      </c>
      <c r="F9" s="2" t="s">
        <v>39</v>
      </c>
      <c r="G9" s="2" t="s">
        <v>28</v>
      </c>
      <c r="H9" s="2">
        <v>71</v>
      </c>
      <c r="I9" s="4">
        <v>0.47916666666666669</v>
      </c>
      <c r="J9" s="2">
        <v>61</v>
      </c>
      <c r="K9" s="2">
        <v>55</v>
      </c>
      <c r="L9" s="2" t="s">
        <v>52</v>
      </c>
      <c r="N9" s="2" t="s">
        <v>29</v>
      </c>
      <c r="O9" s="2">
        <v>450</v>
      </c>
    </row>
    <row r="10" spans="1:15" x14ac:dyDescent="0.25">
      <c r="A10" s="2" t="s">
        <v>53</v>
      </c>
      <c r="B10" s="2" t="s">
        <v>54</v>
      </c>
      <c r="C10" s="3">
        <v>46027</v>
      </c>
      <c r="D10" s="2" t="s">
        <v>17</v>
      </c>
      <c r="E10" s="2" t="s">
        <v>18</v>
      </c>
      <c r="F10" s="2" t="s">
        <v>55</v>
      </c>
      <c r="G10" s="2" t="s">
        <v>20</v>
      </c>
      <c r="H10" s="2">
        <v>61</v>
      </c>
      <c r="I10" s="4">
        <v>0.54166666666666663</v>
      </c>
      <c r="J10" s="2">
        <v>27</v>
      </c>
      <c r="K10" s="2">
        <v>25</v>
      </c>
      <c r="L10" s="2" t="s">
        <v>21</v>
      </c>
      <c r="M10" s="2">
        <v>4</v>
      </c>
      <c r="N10" s="2" t="s">
        <v>22</v>
      </c>
      <c r="O10" s="2">
        <v>135</v>
      </c>
    </row>
    <row r="11" spans="1:15" x14ac:dyDescent="0.25">
      <c r="A11" s="2" t="s">
        <v>56</v>
      </c>
      <c r="B11" s="2" t="s">
        <v>57</v>
      </c>
      <c r="C11" s="3">
        <v>46027</v>
      </c>
      <c r="D11" s="2" t="s">
        <v>37</v>
      </c>
      <c r="E11" s="2" t="s">
        <v>38</v>
      </c>
      <c r="F11" s="2" t="s">
        <v>27</v>
      </c>
      <c r="G11" s="2" t="s">
        <v>40</v>
      </c>
      <c r="H11" s="2">
        <v>39</v>
      </c>
      <c r="I11" s="4">
        <v>0.5625</v>
      </c>
      <c r="J11" s="2">
        <v>48</v>
      </c>
      <c r="K11" s="2">
        <v>40</v>
      </c>
      <c r="L11" s="2" t="s">
        <v>58</v>
      </c>
      <c r="N11" s="2" t="s">
        <v>22</v>
      </c>
      <c r="O11" s="2">
        <v>290</v>
      </c>
    </row>
    <row r="12" spans="1:15" x14ac:dyDescent="0.25">
      <c r="A12" s="2" t="s">
        <v>59</v>
      </c>
      <c r="B12" s="2" t="s">
        <v>60</v>
      </c>
      <c r="C12" s="3">
        <v>46028</v>
      </c>
      <c r="D12" s="2" t="s">
        <v>17</v>
      </c>
      <c r="E12" s="2" t="s">
        <v>18</v>
      </c>
      <c r="F12" s="2" t="s">
        <v>39</v>
      </c>
      <c r="G12" s="2" t="s">
        <v>61</v>
      </c>
      <c r="H12" s="2">
        <v>27</v>
      </c>
      <c r="I12" s="4">
        <v>0.33333333333333331</v>
      </c>
      <c r="J12" s="2">
        <v>31</v>
      </c>
      <c r="K12" s="2">
        <v>45</v>
      </c>
      <c r="L12" s="2" t="s">
        <v>21</v>
      </c>
      <c r="M12" s="2">
        <v>4</v>
      </c>
      <c r="N12" s="2" t="s">
        <v>29</v>
      </c>
      <c r="O12" s="2">
        <v>225</v>
      </c>
    </row>
    <row r="13" spans="1:15" x14ac:dyDescent="0.25">
      <c r="A13" s="2" t="s">
        <v>62</v>
      </c>
      <c r="B13" s="2" t="s">
        <v>63</v>
      </c>
      <c r="C13" s="3">
        <v>46028</v>
      </c>
      <c r="D13" s="2" t="s">
        <v>25</v>
      </c>
      <c r="E13" s="2" t="s">
        <v>26</v>
      </c>
      <c r="F13" s="2" t="s">
        <v>27</v>
      </c>
      <c r="G13" s="2" t="s">
        <v>28</v>
      </c>
      <c r="H13" s="2">
        <v>74</v>
      </c>
      <c r="I13" s="4">
        <v>0.35416666666666669</v>
      </c>
      <c r="J13" s="2">
        <v>38</v>
      </c>
      <c r="K13" s="2">
        <v>50</v>
      </c>
      <c r="L13" s="2" t="s">
        <v>21</v>
      </c>
      <c r="M13" s="2">
        <v>3</v>
      </c>
      <c r="N13" s="2" t="s">
        <v>29</v>
      </c>
      <c r="O13" s="2">
        <v>410</v>
      </c>
    </row>
    <row r="14" spans="1:15" x14ac:dyDescent="0.25">
      <c r="A14" s="2" t="s">
        <v>64</v>
      </c>
      <c r="B14" s="2" t="s">
        <v>65</v>
      </c>
      <c r="C14" s="3">
        <v>46028</v>
      </c>
      <c r="D14" s="2" t="s">
        <v>32</v>
      </c>
      <c r="E14" s="2" t="s">
        <v>33</v>
      </c>
      <c r="F14" s="2" t="s">
        <v>34</v>
      </c>
      <c r="G14" s="2" t="s">
        <v>20</v>
      </c>
      <c r="H14" s="2">
        <v>11</v>
      </c>
      <c r="I14" s="4">
        <v>0.375</v>
      </c>
      <c r="J14" s="2">
        <v>14</v>
      </c>
      <c r="K14" s="2">
        <v>30</v>
      </c>
      <c r="L14" s="2" t="s">
        <v>21</v>
      </c>
      <c r="M14" s="2">
        <v>5</v>
      </c>
      <c r="N14" s="2" t="s">
        <v>22</v>
      </c>
      <c r="O14" s="2">
        <v>155</v>
      </c>
    </row>
    <row r="15" spans="1:15" x14ac:dyDescent="0.25">
      <c r="A15" s="2" t="s">
        <v>66</v>
      </c>
      <c r="B15" s="2" t="s">
        <v>67</v>
      </c>
      <c r="C15" s="3">
        <v>46028</v>
      </c>
      <c r="D15" s="2" t="s">
        <v>45</v>
      </c>
      <c r="E15" s="2" t="s">
        <v>46</v>
      </c>
      <c r="F15" s="2" t="s">
        <v>27</v>
      </c>
      <c r="G15" s="2" t="s">
        <v>40</v>
      </c>
      <c r="H15" s="2">
        <v>33</v>
      </c>
      <c r="I15" s="4">
        <v>0.39583333333333331</v>
      </c>
      <c r="J15" s="2">
        <v>26</v>
      </c>
      <c r="K15" s="2">
        <v>35</v>
      </c>
      <c r="L15" s="2" t="s">
        <v>21</v>
      </c>
      <c r="M15" s="2">
        <v>4</v>
      </c>
      <c r="N15" s="2" t="s">
        <v>22</v>
      </c>
      <c r="O15" s="2">
        <v>245</v>
      </c>
    </row>
    <row r="16" spans="1:15" x14ac:dyDescent="0.25">
      <c r="A16" s="2" t="s">
        <v>68</v>
      </c>
      <c r="B16" s="2" t="s">
        <v>69</v>
      </c>
      <c r="C16" s="3">
        <v>46028</v>
      </c>
      <c r="D16" s="2" t="s">
        <v>37</v>
      </c>
      <c r="E16" s="2" t="s">
        <v>38</v>
      </c>
      <c r="F16" s="2" t="s">
        <v>39</v>
      </c>
      <c r="G16" s="2" t="s">
        <v>28</v>
      </c>
      <c r="H16" s="2">
        <v>68</v>
      </c>
      <c r="I16" s="4">
        <v>0.41666666666666669</v>
      </c>
      <c r="J16" s="2">
        <v>72</v>
      </c>
      <c r="K16" s="2">
        <v>65</v>
      </c>
      <c r="L16" s="2" t="s">
        <v>21</v>
      </c>
      <c r="M16" s="2">
        <v>2</v>
      </c>
      <c r="N16" s="2" t="s">
        <v>29</v>
      </c>
      <c r="O16" s="2">
        <v>610</v>
      </c>
    </row>
    <row r="17" spans="1:15" x14ac:dyDescent="0.25">
      <c r="A17" s="2" t="s">
        <v>70</v>
      </c>
      <c r="B17" s="2" t="s">
        <v>71</v>
      </c>
      <c r="C17" s="3">
        <v>46028</v>
      </c>
      <c r="D17" s="2" t="s">
        <v>17</v>
      </c>
      <c r="E17" s="2" t="s">
        <v>18</v>
      </c>
      <c r="F17" s="2" t="s">
        <v>19</v>
      </c>
      <c r="G17" s="2" t="s">
        <v>40</v>
      </c>
      <c r="H17" s="2">
        <v>50</v>
      </c>
      <c r="I17" s="4">
        <v>0.4375</v>
      </c>
      <c r="J17" s="2">
        <v>19</v>
      </c>
      <c r="K17" s="2">
        <v>35</v>
      </c>
      <c r="L17" s="2" t="s">
        <v>21</v>
      </c>
      <c r="M17" s="2">
        <v>5</v>
      </c>
      <c r="N17" s="2" t="s">
        <v>22</v>
      </c>
      <c r="O17" s="2">
        <v>190</v>
      </c>
    </row>
    <row r="18" spans="1:15" x14ac:dyDescent="0.25">
      <c r="A18" s="2" t="s">
        <v>72</v>
      </c>
      <c r="B18" s="2" t="s">
        <v>73</v>
      </c>
      <c r="C18" s="3">
        <v>46028</v>
      </c>
      <c r="D18" s="2" t="s">
        <v>32</v>
      </c>
      <c r="E18" s="2" t="s">
        <v>33</v>
      </c>
      <c r="F18" s="2" t="s">
        <v>49</v>
      </c>
      <c r="G18" s="2" t="s">
        <v>20</v>
      </c>
      <c r="H18" s="2">
        <v>7</v>
      </c>
      <c r="I18" s="4">
        <v>0.45833333333333331</v>
      </c>
      <c r="J18" s="2">
        <v>11</v>
      </c>
      <c r="K18" s="2">
        <v>25</v>
      </c>
      <c r="L18" s="2" t="s">
        <v>21</v>
      </c>
      <c r="M18" s="2">
        <v>5</v>
      </c>
      <c r="N18" s="2" t="s">
        <v>22</v>
      </c>
      <c r="O18" s="2">
        <v>140</v>
      </c>
    </row>
    <row r="19" spans="1:15" x14ac:dyDescent="0.25">
      <c r="A19" s="2" t="s">
        <v>74</v>
      </c>
      <c r="B19" s="2" t="s">
        <v>75</v>
      </c>
      <c r="C19" s="3">
        <v>46028</v>
      </c>
      <c r="D19" s="2" t="s">
        <v>25</v>
      </c>
      <c r="E19" s="2" t="s">
        <v>26</v>
      </c>
      <c r="F19" s="2" t="s">
        <v>39</v>
      </c>
      <c r="G19" s="2" t="s">
        <v>40</v>
      </c>
      <c r="H19" s="2">
        <v>59</v>
      </c>
      <c r="I19" s="4">
        <v>0.47916666666666669</v>
      </c>
      <c r="J19" s="2">
        <v>47</v>
      </c>
      <c r="K19" s="2">
        <v>60</v>
      </c>
      <c r="L19" s="2" t="s">
        <v>21</v>
      </c>
      <c r="M19" s="2">
        <v>3</v>
      </c>
      <c r="N19" s="2" t="s">
        <v>29</v>
      </c>
      <c r="O19" s="2">
        <v>525</v>
      </c>
    </row>
    <row r="20" spans="1:15" x14ac:dyDescent="0.25">
      <c r="A20" s="2" t="s">
        <v>76</v>
      </c>
      <c r="B20" s="2" t="s">
        <v>77</v>
      </c>
      <c r="C20" s="3">
        <v>46028</v>
      </c>
      <c r="D20" s="2" t="s">
        <v>45</v>
      </c>
      <c r="E20" s="2" t="s">
        <v>46</v>
      </c>
      <c r="F20" s="2" t="s">
        <v>39</v>
      </c>
      <c r="G20" s="2" t="s">
        <v>61</v>
      </c>
      <c r="H20" s="2">
        <v>42</v>
      </c>
      <c r="I20" s="4">
        <v>0.54166666666666663</v>
      </c>
      <c r="J20" s="2">
        <v>29</v>
      </c>
      <c r="K20" s="2">
        <v>45</v>
      </c>
      <c r="L20" s="2" t="s">
        <v>21</v>
      </c>
      <c r="M20" s="2">
        <v>4</v>
      </c>
      <c r="N20" s="2" t="s">
        <v>29</v>
      </c>
      <c r="O20" s="2">
        <v>330</v>
      </c>
    </row>
    <row r="21" spans="1:15" x14ac:dyDescent="0.25">
      <c r="A21" s="2" t="s">
        <v>78</v>
      </c>
      <c r="B21" s="2" t="s">
        <v>79</v>
      </c>
      <c r="C21" s="3">
        <v>46028</v>
      </c>
      <c r="D21" s="2" t="s">
        <v>17</v>
      </c>
      <c r="E21" s="2" t="s">
        <v>18</v>
      </c>
      <c r="F21" s="2" t="s">
        <v>27</v>
      </c>
      <c r="G21" s="2" t="s">
        <v>20</v>
      </c>
      <c r="H21" s="2">
        <v>56</v>
      </c>
      <c r="I21" s="4">
        <v>0.5625</v>
      </c>
      <c r="J21" s="2">
        <v>16</v>
      </c>
      <c r="K21" s="2">
        <v>30</v>
      </c>
      <c r="L21" s="2" t="s">
        <v>21</v>
      </c>
      <c r="M21" s="2">
        <v>5</v>
      </c>
      <c r="N21" s="2" t="s">
        <v>22</v>
      </c>
      <c r="O21" s="2">
        <v>175</v>
      </c>
    </row>
    <row r="22" spans="1:15" x14ac:dyDescent="0.25">
      <c r="A22" s="2" t="s">
        <v>80</v>
      </c>
      <c r="B22" s="2" t="s">
        <v>81</v>
      </c>
      <c r="C22" s="3">
        <v>46029</v>
      </c>
      <c r="D22" s="2" t="s">
        <v>37</v>
      </c>
      <c r="E22" s="2" t="s">
        <v>38</v>
      </c>
      <c r="F22" s="2" t="s">
        <v>27</v>
      </c>
      <c r="G22" s="2" t="s">
        <v>40</v>
      </c>
      <c r="H22" s="2">
        <v>44</v>
      </c>
      <c r="I22" s="4">
        <v>0.33333333333333331</v>
      </c>
      <c r="J22" s="2">
        <v>52</v>
      </c>
      <c r="K22" s="2">
        <v>45</v>
      </c>
      <c r="L22" s="2" t="s">
        <v>21</v>
      </c>
      <c r="M22" s="2">
        <v>3</v>
      </c>
      <c r="N22" s="2" t="s">
        <v>22</v>
      </c>
      <c r="O22" s="2">
        <v>305</v>
      </c>
    </row>
    <row r="23" spans="1:15" x14ac:dyDescent="0.25">
      <c r="A23" s="2" t="s">
        <v>82</v>
      </c>
      <c r="B23" s="2" t="s">
        <v>83</v>
      </c>
      <c r="C23" s="3">
        <v>46029</v>
      </c>
      <c r="D23" s="2" t="s">
        <v>17</v>
      </c>
      <c r="E23" s="2" t="s">
        <v>18</v>
      </c>
      <c r="F23" s="2" t="s">
        <v>34</v>
      </c>
      <c r="G23" s="2" t="s">
        <v>20</v>
      </c>
      <c r="H23" s="2">
        <v>23</v>
      </c>
      <c r="I23" s="4">
        <v>0.35416666666666669</v>
      </c>
      <c r="J23" s="2">
        <v>24</v>
      </c>
      <c r="K23" s="2">
        <v>30</v>
      </c>
      <c r="L23" s="2" t="s">
        <v>21</v>
      </c>
      <c r="M23" s="2">
        <v>4</v>
      </c>
      <c r="N23" s="2" t="s">
        <v>22</v>
      </c>
      <c r="O23" s="2">
        <v>165</v>
      </c>
    </row>
    <row r="24" spans="1:15" x14ac:dyDescent="0.25">
      <c r="A24" s="2" t="s">
        <v>84</v>
      </c>
      <c r="B24" s="2" t="s">
        <v>85</v>
      </c>
      <c r="C24" s="3">
        <v>46029</v>
      </c>
      <c r="D24" s="2" t="s">
        <v>25</v>
      </c>
      <c r="E24" s="2" t="s">
        <v>26</v>
      </c>
      <c r="F24" s="2" t="s">
        <v>19</v>
      </c>
      <c r="G24" s="2" t="s">
        <v>28</v>
      </c>
      <c r="H24" s="2">
        <v>69</v>
      </c>
      <c r="I24" s="4">
        <v>0.375</v>
      </c>
      <c r="J24" s="2">
        <v>45</v>
      </c>
      <c r="K24" s="2">
        <v>50</v>
      </c>
      <c r="L24" s="2" t="s">
        <v>21</v>
      </c>
      <c r="M24" s="2">
        <v>3</v>
      </c>
      <c r="N24" s="2" t="s">
        <v>22</v>
      </c>
      <c r="O24" s="2">
        <v>390</v>
      </c>
    </row>
    <row r="25" spans="1:15" x14ac:dyDescent="0.25">
      <c r="A25" s="2" t="s">
        <v>86</v>
      </c>
      <c r="B25" s="2" t="s">
        <v>87</v>
      </c>
      <c r="C25" s="3">
        <v>46029</v>
      </c>
      <c r="D25" s="2" t="s">
        <v>32</v>
      </c>
      <c r="E25" s="2" t="s">
        <v>33</v>
      </c>
      <c r="F25" s="2" t="s">
        <v>34</v>
      </c>
      <c r="G25" s="2" t="s">
        <v>40</v>
      </c>
      <c r="H25" s="2">
        <v>13</v>
      </c>
      <c r="I25" s="4">
        <v>0.39583333333333331</v>
      </c>
      <c r="J25" s="2">
        <v>17</v>
      </c>
      <c r="K25" s="2">
        <v>30</v>
      </c>
      <c r="L25" s="2" t="s">
        <v>21</v>
      </c>
      <c r="M25" s="2">
        <v>5</v>
      </c>
      <c r="N25" s="2" t="s">
        <v>22</v>
      </c>
      <c r="O25" s="2">
        <v>175</v>
      </c>
    </row>
    <row r="26" spans="1:15" x14ac:dyDescent="0.25">
      <c r="A26" s="2" t="s">
        <v>88</v>
      </c>
      <c r="B26" s="2" t="s">
        <v>89</v>
      </c>
      <c r="C26" s="3">
        <v>46029</v>
      </c>
      <c r="D26" s="2" t="s">
        <v>45</v>
      </c>
      <c r="E26" s="2" t="s">
        <v>46</v>
      </c>
      <c r="F26" s="2" t="s">
        <v>27</v>
      </c>
      <c r="G26" s="2" t="s">
        <v>40</v>
      </c>
      <c r="H26" s="2">
        <v>36</v>
      </c>
      <c r="I26" s="4">
        <v>0.41666666666666669</v>
      </c>
      <c r="J26" s="2">
        <v>34</v>
      </c>
      <c r="K26" s="2">
        <v>35</v>
      </c>
      <c r="L26" s="2" t="s">
        <v>21</v>
      </c>
      <c r="M26" s="2">
        <v>4</v>
      </c>
      <c r="N26" s="2" t="s">
        <v>22</v>
      </c>
      <c r="O26" s="2">
        <v>240</v>
      </c>
    </row>
    <row r="27" spans="1:15" x14ac:dyDescent="0.25">
      <c r="A27" s="2" t="s">
        <v>90</v>
      </c>
      <c r="B27" s="2" t="s">
        <v>91</v>
      </c>
      <c r="C27" s="3">
        <v>46029</v>
      </c>
      <c r="D27" s="2" t="s">
        <v>37</v>
      </c>
      <c r="E27" s="2" t="s">
        <v>38</v>
      </c>
      <c r="F27" s="2" t="s">
        <v>39</v>
      </c>
      <c r="G27" s="2" t="s">
        <v>20</v>
      </c>
      <c r="H27" s="2">
        <v>58</v>
      </c>
      <c r="I27" s="4">
        <v>0.4375</v>
      </c>
      <c r="J27" s="2">
        <v>68</v>
      </c>
      <c r="K27" s="2">
        <v>60</v>
      </c>
      <c r="L27" s="2" t="s">
        <v>21</v>
      </c>
      <c r="M27" s="2">
        <v>2</v>
      </c>
      <c r="N27" s="2" t="s">
        <v>29</v>
      </c>
      <c r="O27" s="2">
        <v>495</v>
      </c>
    </row>
    <row r="28" spans="1:15" x14ac:dyDescent="0.25">
      <c r="A28" s="2" t="s">
        <v>92</v>
      </c>
      <c r="B28" s="2" t="s">
        <v>93</v>
      </c>
      <c r="C28" s="3">
        <v>46029</v>
      </c>
      <c r="D28" s="2" t="s">
        <v>17</v>
      </c>
      <c r="E28" s="2" t="s">
        <v>18</v>
      </c>
      <c r="F28" s="2" t="s">
        <v>55</v>
      </c>
      <c r="G28" s="2" t="s">
        <v>28</v>
      </c>
      <c r="H28" s="2">
        <v>72</v>
      </c>
      <c r="I28" s="4">
        <v>0.45833333333333331</v>
      </c>
      <c r="J28" s="2">
        <v>29</v>
      </c>
      <c r="K28" s="2">
        <v>25</v>
      </c>
      <c r="L28" s="2" t="s">
        <v>21</v>
      </c>
      <c r="M28" s="2">
        <v>4</v>
      </c>
      <c r="N28" s="2" t="s">
        <v>22</v>
      </c>
      <c r="O28" s="2">
        <v>155</v>
      </c>
    </row>
    <row r="29" spans="1:15" x14ac:dyDescent="0.25">
      <c r="A29" s="2" t="s">
        <v>94</v>
      </c>
      <c r="B29" s="2" t="s">
        <v>95</v>
      </c>
      <c r="C29" s="3">
        <v>46029</v>
      </c>
      <c r="D29" s="2" t="s">
        <v>32</v>
      </c>
      <c r="E29" s="2" t="s">
        <v>33</v>
      </c>
      <c r="F29" s="2" t="s">
        <v>49</v>
      </c>
      <c r="G29" s="2" t="s">
        <v>20</v>
      </c>
      <c r="H29" s="2">
        <v>4</v>
      </c>
      <c r="I29" s="4">
        <v>0.47916666666666669</v>
      </c>
      <c r="J29" s="2">
        <v>8</v>
      </c>
      <c r="K29" s="2">
        <v>25</v>
      </c>
      <c r="L29" s="2" t="s">
        <v>21</v>
      </c>
      <c r="M29" s="2">
        <v>5</v>
      </c>
      <c r="N29" s="2" t="s">
        <v>22</v>
      </c>
      <c r="O29" s="2">
        <v>135</v>
      </c>
    </row>
    <row r="30" spans="1:15" x14ac:dyDescent="0.25">
      <c r="A30" s="2" t="s">
        <v>96</v>
      </c>
      <c r="B30" s="2" t="s">
        <v>97</v>
      </c>
      <c r="C30" s="3">
        <v>46029</v>
      </c>
      <c r="D30" s="2" t="s">
        <v>25</v>
      </c>
      <c r="E30" s="2" t="s">
        <v>26</v>
      </c>
      <c r="F30" s="2" t="s">
        <v>27</v>
      </c>
      <c r="G30" s="2" t="s">
        <v>40</v>
      </c>
      <c r="H30" s="2">
        <v>63</v>
      </c>
      <c r="I30" s="4">
        <v>0.54166666666666663</v>
      </c>
      <c r="J30" s="2">
        <v>51</v>
      </c>
      <c r="K30" s="2">
        <v>45</v>
      </c>
      <c r="L30" s="2" t="s">
        <v>21</v>
      </c>
      <c r="M30" s="2">
        <v>3</v>
      </c>
      <c r="N30" s="2" t="s">
        <v>29</v>
      </c>
      <c r="O30" s="2">
        <v>380</v>
      </c>
    </row>
    <row r="31" spans="1:15" x14ac:dyDescent="0.25">
      <c r="A31" s="2" t="s">
        <v>98</v>
      </c>
      <c r="B31" s="2" t="s">
        <v>99</v>
      </c>
      <c r="C31" s="3">
        <v>46029</v>
      </c>
      <c r="D31" s="2" t="s">
        <v>45</v>
      </c>
      <c r="E31" s="2" t="s">
        <v>46</v>
      </c>
      <c r="F31" s="2" t="s">
        <v>39</v>
      </c>
      <c r="G31" s="2" t="s">
        <v>40</v>
      </c>
      <c r="H31" s="2">
        <v>48</v>
      </c>
      <c r="I31" s="4">
        <v>0.5625</v>
      </c>
      <c r="J31" s="2">
        <v>39</v>
      </c>
      <c r="K31" s="2">
        <v>50</v>
      </c>
      <c r="L31" s="2" t="s">
        <v>58</v>
      </c>
      <c r="N31" s="2" t="s">
        <v>29</v>
      </c>
      <c r="O31" s="2">
        <v>350</v>
      </c>
    </row>
    <row r="32" spans="1:15" x14ac:dyDescent="0.25">
      <c r="A32" s="2" t="s">
        <v>100</v>
      </c>
      <c r="B32" s="2" t="s">
        <v>101</v>
      </c>
      <c r="C32" s="3">
        <v>46030</v>
      </c>
      <c r="D32" s="2" t="s">
        <v>17</v>
      </c>
      <c r="E32" s="2" t="s">
        <v>18</v>
      </c>
      <c r="F32" s="2" t="s">
        <v>19</v>
      </c>
      <c r="G32" s="2" t="s">
        <v>20</v>
      </c>
      <c r="H32" s="2">
        <v>31</v>
      </c>
      <c r="I32" s="4">
        <v>0.33333333333333331</v>
      </c>
      <c r="J32" s="2">
        <v>15</v>
      </c>
      <c r="K32" s="2">
        <v>35</v>
      </c>
      <c r="L32" s="2" t="s">
        <v>21</v>
      </c>
      <c r="M32" s="2">
        <v>5</v>
      </c>
      <c r="N32" s="2" t="s">
        <v>22</v>
      </c>
      <c r="O32" s="2">
        <v>180</v>
      </c>
    </row>
    <row r="33" spans="1:15" x14ac:dyDescent="0.25">
      <c r="A33" s="2" t="s">
        <v>102</v>
      </c>
      <c r="B33" s="2" t="s">
        <v>103</v>
      </c>
      <c r="C33" s="3">
        <v>46030</v>
      </c>
      <c r="D33" s="2" t="s">
        <v>25</v>
      </c>
      <c r="E33" s="2" t="s">
        <v>26</v>
      </c>
      <c r="F33" s="2" t="s">
        <v>39</v>
      </c>
      <c r="G33" s="2" t="s">
        <v>28</v>
      </c>
      <c r="H33" s="2">
        <v>76</v>
      </c>
      <c r="I33" s="4">
        <v>0.35416666666666669</v>
      </c>
      <c r="J33" s="2">
        <v>64</v>
      </c>
      <c r="K33" s="2">
        <v>65</v>
      </c>
      <c r="L33" s="2" t="s">
        <v>21</v>
      </c>
      <c r="M33" s="2">
        <v>2</v>
      </c>
      <c r="N33" s="2" t="s">
        <v>29</v>
      </c>
      <c r="O33" s="2">
        <v>565</v>
      </c>
    </row>
    <row r="34" spans="1:15" x14ac:dyDescent="0.25">
      <c r="A34" s="2" t="s">
        <v>104</v>
      </c>
      <c r="B34" s="2" t="s">
        <v>105</v>
      </c>
      <c r="C34" s="3">
        <v>46030</v>
      </c>
      <c r="D34" s="2" t="s">
        <v>32</v>
      </c>
      <c r="E34" s="2" t="s">
        <v>33</v>
      </c>
      <c r="F34" s="2" t="s">
        <v>34</v>
      </c>
      <c r="G34" s="2" t="s">
        <v>20</v>
      </c>
      <c r="H34" s="2">
        <v>9</v>
      </c>
      <c r="I34" s="4">
        <v>0.375</v>
      </c>
      <c r="J34" s="2">
        <v>13</v>
      </c>
      <c r="K34" s="2">
        <v>30</v>
      </c>
      <c r="L34" s="2" t="s">
        <v>21</v>
      </c>
      <c r="M34" s="2">
        <v>5</v>
      </c>
      <c r="N34" s="2" t="s">
        <v>22</v>
      </c>
      <c r="O34" s="2">
        <v>155</v>
      </c>
    </row>
    <row r="35" spans="1:15" x14ac:dyDescent="0.25">
      <c r="A35" s="2" t="s">
        <v>106</v>
      </c>
      <c r="B35" s="2" t="s">
        <v>107</v>
      </c>
      <c r="C35" s="3">
        <v>46030</v>
      </c>
      <c r="D35" s="2" t="s">
        <v>37</v>
      </c>
      <c r="E35" s="2" t="s">
        <v>38</v>
      </c>
      <c r="F35" s="2" t="s">
        <v>27</v>
      </c>
      <c r="G35" s="2" t="s">
        <v>40</v>
      </c>
      <c r="H35" s="2">
        <v>47</v>
      </c>
      <c r="I35" s="4">
        <v>0.39583333333333331</v>
      </c>
      <c r="J35" s="2">
        <v>43</v>
      </c>
      <c r="K35" s="2">
        <v>45</v>
      </c>
      <c r="L35" s="2" t="s">
        <v>21</v>
      </c>
      <c r="M35" s="2">
        <v>4</v>
      </c>
      <c r="N35" s="2" t="s">
        <v>22</v>
      </c>
      <c r="O35" s="2">
        <v>295</v>
      </c>
    </row>
    <row r="36" spans="1:15" x14ac:dyDescent="0.25">
      <c r="A36" s="2" t="s">
        <v>108</v>
      </c>
      <c r="B36" s="2" t="s">
        <v>109</v>
      </c>
      <c r="C36" s="3">
        <v>46030</v>
      </c>
      <c r="D36" s="2" t="s">
        <v>45</v>
      </c>
      <c r="E36" s="2" t="s">
        <v>46</v>
      </c>
      <c r="F36" s="2" t="s">
        <v>39</v>
      </c>
      <c r="G36" s="2" t="s">
        <v>40</v>
      </c>
      <c r="H36" s="2">
        <v>26</v>
      </c>
      <c r="I36" s="4">
        <v>0.41666666666666669</v>
      </c>
      <c r="J36" s="2">
        <v>37</v>
      </c>
      <c r="K36" s="2">
        <v>50</v>
      </c>
      <c r="L36" s="2" t="s">
        <v>21</v>
      </c>
      <c r="M36" s="2">
        <v>4</v>
      </c>
      <c r="N36" s="2" t="s">
        <v>29</v>
      </c>
      <c r="O36" s="2">
        <v>340</v>
      </c>
    </row>
    <row r="37" spans="1:15" x14ac:dyDescent="0.25">
      <c r="A37" s="2" t="s">
        <v>110</v>
      </c>
      <c r="B37" s="2" t="s">
        <v>111</v>
      </c>
      <c r="C37" s="3">
        <v>46030</v>
      </c>
      <c r="D37" s="2" t="s">
        <v>17</v>
      </c>
      <c r="E37" s="2" t="s">
        <v>18</v>
      </c>
      <c r="F37" s="2" t="s">
        <v>27</v>
      </c>
      <c r="G37" s="2" t="s">
        <v>28</v>
      </c>
      <c r="H37" s="2">
        <v>64</v>
      </c>
      <c r="I37" s="4">
        <v>0.4375</v>
      </c>
      <c r="J37" s="2">
        <v>22</v>
      </c>
      <c r="K37" s="2">
        <v>30</v>
      </c>
      <c r="L37" s="2" t="s">
        <v>21</v>
      </c>
      <c r="M37" s="2">
        <v>4</v>
      </c>
      <c r="N37" s="2" t="s">
        <v>22</v>
      </c>
      <c r="O37" s="2">
        <v>205</v>
      </c>
    </row>
    <row r="38" spans="1:15" x14ac:dyDescent="0.25">
      <c r="A38" s="2" t="s">
        <v>112</v>
      </c>
      <c r="B38" s="2" t="s">
        <v>113</v>
      </c>
      <c r="C38" s="3">
        <v>46030</v>
      </c>
      <c r="D38" s="2" t="s">
        <v>32</v>
      </c>
      <c r="E38" s="2" t="s">
        <v>33</v>
      </c>
      <c r="F38" s="2" t="s">
        <v>49</v>
      </c>
      <c r="G38" s="2" t="s">
        <v>20</v>
      </c>
      <c r="H38" s="2">
        <v>6</v>
      </c>
      <c r="I38" s="4">
        <v>0.45833333333333331</v>
      </c>
      <c r="J38" s="2">
        <v>10</v>
      </c>
      <c r="K38" s="2">
        <v>25</v>
      </c>
      <c r="L38" s="2" t="s">
        <v>21</v>
      </c>
      <c r="M38" s="2">
        <v>5</v>
      </c>
      <c r="N38" s="2" t="s">
        <v>22</v>
      </c>
      <c r="O38" s="2">
        <v>145</v>
      </c>
    </row>
    <row r="39" spans="1:15" x14ac:dyDescent="0.25">
      <c r="A39" s="2" t="s">
        <v>114</v>
      </c>
      <c r="B39" s="2" t="s">
        <v>115</v>
      </c>
      <c r="C39" s="3">
        <v>46030</v>
      </c>
      <c r="D39" s="2" t="s">
        <v>25</v>
      </c>
      <c r="E39" s="2" t="s">
        <v>26</v>
      </c>
      <c r="F39" s="2" t="s">
        <v>27</v>
      </c>
      <c r="G39" s="2" t="s">
        <v>28</v>
      </c>
      <c r="H39" s="2">
        <v>70</v>
      </c>
      <c r="I39" s="4">
        <v>0.47916666666666669</v>
      </c>
      <c r="J39" s="2">
        <v>57</v>
      </c>
      <c r="K39" s="2">
        <v>50</v>
      </c>
      <c r="L39" s="2" t="s">
        <v>21</v>
      </c>
      <c r="M39" s="2">
        <v>3</v>
      </c>
      <c r="N39" s="2" t="s">
        <v>29</v>
      </c>
      <c r="O39" s="2">
        <v>415</v>
      </c>
    </row>
    <row r="40" spans="1:15" x14ac:dyDescent="0.25">
      <c r="A40" s="2" t="s">
        <v>116</v>
      </c>
      <c r="B40" s="2" t="s">
        <v>117</v>
      </c>
      <c r="C40" s="3">
        <v>46030</v>
      </c>
      <c r="D40" s="2" t="s">
        <v>37</v>
      </c>
      <c r="E40" s="2" t="s">
        <v>38</v>
      </c>
      <c r="F40" s="2" t="s">
        <v>39</v>
      </c>
      <c r="G40" s="2" t="s">
        <v>61</v>
      </c>
      <c r="H40" s="2">
        <v>35</v>
      </c>
      <c r="I40" s="4">
        <v>0.54166666666666663</v>
      </c>
      <c r="J40" s="2">
        <v>46</v>
      </c>
      <c r="K40" s="2">
        <v>55</v>
      </c>
      <c r="L40" s="2" t="s">
        <v>21</v>
      </c>
      <c r="M40" s="2">
        <v>3</v>
      </c>
      <c r="N40" s="2" t="s">
        <v>29</v>
      </c>
      <c r="O40" s="2">
        <v>525</v>
      </c>
    </row>
    <row r="41" spans="1:15" x14ac:dyDescent="0.25">
      <c r="A41" s="2" t="s">
        <v>118</v>
      </c>
      <c r="B41" s="2" t="s">
        <v>119</v>
      </c>
      <c r="C41" s="3">
        <v>46030</v>
      </c>
      <c r="D41" s="2" t="s">
        <v>17</v>
      </c>
      <c r="E41" s="2" t="s">
        <v>18</v>
      </c>
      <c r="F41" s="2" t="s">
        <v>34</v>
      </c>
      <c r="G41" s="2" t="s">
        <v>20</v>
      </c>
      <c r="H41" s="2">
        <v>41</v>
      </c>
      <c r="I41" s="4">
        <v>0.5625</v>
      </c>
      <c r="J41" s="2">
        <v>20</v>
      </c>
      <c r="K41" s="2">
        <v>30</v>
      </c>
      <c r="L41" s="2" t="s">
        <v>21</v>
      </c>
      <c r="M41" s="2">
        <v>5</v>
      </c>
      <c r="N41" s="2" t="s">
        <v>22</v>
      </c>
      <c r="O41" s="2">
        <v>160</v>
      </c>
    </row>
    <row r="42" spans="1:15" x14ac:dyDescent="0.25">
      <c r="A42" s="2" t="s">
        <v>120</v>
      </c>
      <c r="B42" s="2" t="s">
        <v>121</v>
      </c>
      <c r="C42" s="3">
        <v>46031</v>
      </c>
      <c r="D42" s="2" t="s">
        <v>45</v>
      </c>
      <c r="E42" s="2" t="s">
        <v>46</v>
      </c>
      <c r="F42" s="2" t="s">
        <v>27</v>
      </c>
      <c r="G42" s="2" t="s">
        <v>40</v>
      </c>
      <c r="H42" s="2">
        <v>38</v>
      </c>
      <c r="I42" s="4">
        <v>0.33333333333333331</v>
      </c>
      <c r="J42" s="2">
        <v>32</v>
      </c>
      <c r="K42" s="2">
        <v>35</v>
      </c>
      <c r="L42" s="2" t="s">
        <v>21</v>
      </c>
      <c r="M42" s="2">
        <v>4</v>
      </c>
      <c r="N42" s="2" t="s">
        <v>22</v>
      </c>
      <c r="O42" s="2">
        <v>235</v>
      </c>
    </row>
    <row r="43" spans="1:15" x14ac:dyDescent="0.25">
      <c r="A43" s="2" t="s">
        <v>122</v>
      </c>
      <c r="B43" s="2" t="s">
        <v>123</v>
      </c>
      <c r="C43" s="3">
        <v>46031</v>
      </c>
      <c r="D43" s="2" t="s">
        <v>17</v>
      </c>
      <c r="E43" s="2" t="s">
        <v>18</v>
      </c>
      <c r="F43" s="2" t="s">
        <v>39</v>
      </c>
      <c r="G43" s="2" t="s">
        <v>40</v>
      </c>
      <c r="H43" s="2">
        <v>55</v>
      </c>
      <c r="I43" s="4">
        <v>0.35416666666666669</v>
      </c>
      <c r="J43" s="2">
        <v>41</v>
      </c>
      <c r="K43" s="2">
        <v>50</v>
      </c>
      <c r="L43" s="2" t="s">
        <v>21</v>
      </c>
      <c r="M43" s="2">
        <v>3</v>
      </c>
      <c r="N43" s="2" t="s">
        <v>29</v>
      </c>
      <c r="O43" s="2">
        <v>285</v>
      </c>
    </row>
    <row r="44" spans="1:15" x14ac:dyDescent="0.25">
      <c r="A44" s="2" t="s">
        <v>124</v>
      </c>
      <c r="B44" s="2" t="s">
        <v>125</v>
      </c>
      <c r="C44" s="3">
        <v>46031</v>
      </c>
      <c r="D44" s="2" t="s">
        <v>32</v>
      </c>
      <c r="E44" s="2" t="s">
        <v>33</v>
      </c>
      <c r="F44" s="2" t="s">
        <v>34</v>
      </c>
      <c r="G44" s="2" t="s">
        <v>20</v>
      </c>
      <c r="H44" s="2">
        <v>10</v>
      </c>
      <c r="I44" s="4">
        <v>0.375</v>
      </c>
      <c r="J44" s="2">
        <v>7</v>
      </c>
      <c r="K44" s="2">
        <v>25</v>
      </c>
      <c r="L44" s="2" t="s">
        <v>21</v>
      </c>
      <c r="M44" s="2">
        <v>5</v>
      </c>
      <c r="N44" s="2" t="s">
        <v>22</v>
      </c>
      <c r="O44" s="2">
        <v>150</v>
      </c>
    </row>
    <row r="45" spans="1:15" x14ac:dyDescent="0.25">
      <c r="A45" s="2" t="s">
        <v>126</v>
      </c>
      <c r="B45" s="2" t="s">
        <v>127</v>
      </c>
      <c r="C45" s="3">
        <v>46031</v>
      </c>
      <c r="D45" s="2" t="s">
        <v>25</v>
      </c>
      <c r="E45" s="2" t="s">
        <v>26</v>
      </c>
      <c r="F45" s="2" t="s">
        <v>27</v>
      </c>
      <c r="G45" s="2" t="s">
        <v>28</v>
      </c>
      <c r="H45" s="2">
        <v>81</v>
      </c>
      <c r="I45" s="4">
        <v>0.39583333333333331</v>
      </c>
      <c r="J45" s="2">
        <v>73</v>
      </c>
      <c r="K45" s="2">
        <v>55</v>
      </c>
      <c r="L45" s="2" t="s">
        <v>21</v>
      </c>
      <c r="M45" s="2">
        <v>2</v>
      </c>
      <c r="N45" s="2" t="s">
        <v>29</v>
      </c>
      <c r="O45" s="2">
        <v>430</v>
      </c>
    </row>
    <row r="46" spans="1:15" x14ac:dyDescent="0.25">
      <c r="A46" s="2" t="s">
        <v>128</v>
      </c>
      <c r="B46" s="2" t="s">
        <v>129</v>
      </c>
      <c r="C46" s="3">
        <v>46031</v>
      </c>
      <c r="D46" s="2" t="s">
        <v>37</v>
      </c>
      <c r="E46" s="2" t="s">
        <v>38</v>
      </c>
      <c r="F46" s="2" t="s">
        <v>27</v>
      </c>
      <c r="G46" s="2" t="s">
        <v>40</v>
      </c>
      <c r="H46" s="2">
        <v>49</v>
      </c>
      <c r="I46" s="4">
        <v>0.41666666666666669</v>
      </c>
      <c r="J46" s="2">
        <v>49</v>
      </c>
      <c r="K46" s="2">
        <v>45</v>
      </c>
      <c r="L46" s="2" t="s">
        <v>21</v>
      </c>
      <c r="M46" s="2">
        <v>3</v>
      </c>
      <c r="N46" s="2" t="s">
        <v>22</v>
      </c>
      <c r="O46" s="2">
        <v>310</v>
      </c>
    </row>
    <row r="47" spans="1:15" x14ac:dyDescent="0.25">
      <c r="A47" s="2" t="s">
        <v>130</v>
      </c>
      <c r="B47" s="2" t="s">
        <v>131</v>
      </c>
      <c r="C47" s="3">
        <v>46031</v>
      </c>
      <c r="D47" s="2" t="s">
        <v>17</v>
      </c>
      <c r="E47" s="2" t="s">
        <v>18</v>
      </c>
      <c r="F47" s="2" t="s">
        <v>19</v>
      </c>
      <c r="G47" s="2" t="s">
        <v>20</v>
      </c>
      <c r="H47" s="2">
        <v>37</v>
      </c>
      <c r="I47" s="4">
        <v>0.4375</v>
      </c>
      <c r="J47" s="2">
        <v>17</v>
      </c>
      <c r="K47" s="2">
        <v>35</v>
      </c>
      <c r="L47" s="2" t="s">
        <v>21</v>
      </c>
      <c r="M47" s="2">
        <v>5</v>
      </c>
      <c r="N47" s="2" t="s">
        <v>22</v>
      </c>
      <c r="O47" s="2">
        <v>180</v>
      </c>
    </row>
    <row r="48" spans="1:15" x14ac:dyDescent="0.25">
      <c r="A48" s="2" t="s">
        <v>132</v>
      </c>
      <c r="B48" s="2" t="s">
        <v>133</v>
      </c>
      <c r="C48" s="3">
        <v>46031</v>
      </c>
      <c r="D48" s="2" t="s">
        <v>45</v>
      </c>
      <c r="E48" s="2" t="s">
        <v>46</v>
      </c>
      <c r="F48" s="2" t="s">
        <v>39</v>
      </c>
      <c r="G48" s="2" t="s">
        <v>61</v>
      </c>
      <c r="H48" s="2">
        <v>30</v>
      </c>
      <c r="I48" s="4">
        <v>0.45833333333333331</v>
      </c>
      <c r="J48" s="2">
        <v>36</v>
      </c>
      <c r="K48" s="2">
        <v>45</v>
      </c>
      <c r="L48" s="2" t="s">
        <v>52</v>
      </c>
      <c r="N48" s="2" t="s">
        <v>29</v>
      </c>
      <c r="O48" s="2">
        <v>320</v>
      </c>
    </row>
    <row r="49" spans="1:15" x14ac:dyDescent="0.25">
      <c r="A49" s="2" t="s">
        <v>134</v>
      </c>
      <c r="B49" s="2" t="s">
        <v>135</v>
      </c>
      <c r="C49" s="3">
        <v>46031</v>
      </c>
      <c r="D49" s="2" t="s">
        <v>32</v>
      </c>
      <c r="E49" s="2" t="s">
        <v>33</v>
      </c>
      <c r="F49" s="2" t="s">
        <v>49</v>
      </c>
      <c r="G49" s="2" t="s">
        <v>40</v>
      </c>
      <c r="H49" s="2">
        <v>6</v>
      </c>
      <c r="I49" s="4">
        <v>0.47916666666666669</v>
      </c>
      <c r="J49" s="2">
        <v>12</v>
      </c>
      <c r="K49" s="2">
        <v>25</v>
      </c>
      <c r="L49" s="2" t="s">
        <v>21</v>
      </c>
      <c r="M49" s="2">
        <v>5</v>
      </c>
      <c r="N49" s="2" t="s">
        <v>22</v>
      </c>
      <c r="O49" s="2">
        <v>165</v>
      </c>
    </row>
    <row r="50" spans="1:15" x14ac:dyDescent="0.25">
      <c r="A50" s="2" t="s">
        <v>136</v>
      </c>
      <c r="B50" s="2" t="s">
        <v>137</v>
      </c>
      <c r="C50" s="3">
        <v>46031</v>
      </c>
      <c r="D50" s="2" t="s">
        <v>25</v>
      </c>
      <c r="E50" s="2" t="s">
        <v>26</v>
      </c>
      <c r="F50" s="2" t="s">
        <v>39</v>
      </c>
      <c r="G50" s="2" t="s">
        <v>40</v>
      </c>
      <c r="H50" s="2">
        <v>62</v>
      </c>
      <c r="I50" s="4">
        <v>0.54166666666666663</v>
      </c>
      <c r="J50" s="2">
        <v>54</v>
      </c>
      <c r="K50" s="2">
        <v>60</v>
      </c>
      <c r="L50" s="2" t="s">
        <v>21</v>
      </c>
      <c r="M50" s="2">
        <v>3</v>
      </c>
      <c r="N50" s="2" t="s">
        <v>29</v>
      </c>
      <c r="O50" s="2">
        <v>540</v>
      </c>
    </row>
    <row r="51" spans="1:15" x14ac:dyDescent="0.25">
      <c r="A51" s="2" t="s">
        <v>138</v>
      </c>
      <c r="B51" s="2" t="s">
        <v>139</v>
      </c>
      <c r="C51" s="3">
        <v>46031</v>
      </c>
      <c r="D51" s="2" t="s">
        <v>17</v>
      </c>
      <c r="E51" s="2" t="s">
        <v>18</v>
      </c>
      <c r="F51" s="2" t="s">
        <v>55</v>
      </c>
      <c r="G51" s="2" t="s">
        <v>28</v>
      </c>
      <c r="H51" s="2">
        <v>68</v>
      </c>
      <c r="I51" s="4">
        <v>0.5625</v>
      </c>
      <c r="J51" s="2">
        <v>25</v>
      </c>
      <c r="K51" s="2">
        <v>25</v>
      </c>
      <c r="L51" s="2" t="s">
        <v>21</v>
      </c>
      <c r="M51" s="2">
        <v>4</v>
      </c>
      <c r="N51" s="2" t="s">
        <v>22</v>
      </c>
      <c r="O51" s="2">
        <v>150</v>
      </c>
    </row>
    <row r="52" spans="1:15" x14ac:dyDescent="0.25">
      <c r="A52" s="2" t="s">
        <v>140</v>
      </c>
      <c r="B52" s="2" t="s">
        <v>141</v>
      </c>
      <c r="C52" s="3">
        <v>46034</v>
      </c>
      <c r="D52" s="2" t="s">
        <v>37</v>
      </c>
      <c r="E52" s="2" t="s">
        <v>38</v>
      </c>
      <c r="F52" s="2" t="s">
        <v>39</v>
      </c>
      <c r="G52" s="2" t="s">
        <v>20</v>
      </c>
      <c r="H52" s="2">
        <v>61</v>
      </c>
      <c r="I52" s="4">
        <v>0.33333333333333331</v>
      </c>
      <c r="J52" s="2">
        <v>78</v>
      </c>
      <c r="K52" s="2">
        <v>65</v>
      </c>
      <c r="L52" s="2" t="s">
        <v>21</v>
      </c>
      <c r="M52" s="2">
        <v>2</v>
      </c>
      <c r="N52" s="2" t="s">
        <v>29</v>
      </c>
      <c r="O52" s="2">
        <v>590</v>
      </c>
    </row>
    <row r="53" spans="1:15" x14ac:dyDescent="0.25">
      <c r="A53" s="2" t="s">
        <v>142</v>
      </c>
      <c r="B53" s="2" t="s">
        <v>143</v>
      </c>
      <c r="C53" s="3">
        <v>46034</v>
      </c>
      <c r="D53" s="2" t="s">
        <v>17</v>
      </c>
      <c r="E53" s="2" t="s">
        <v>18</v>
      </c>
      <c r="F53" s="2" t="s">
        <v>27</v>
      </c>
      <c r="G53" s="2" t="s">
        <v>40</v>
      </c>
      <c r="H53" s="2">
        <v>43</v>
      </c>
      <c r="I53" s="4">
        <v>0.35416666666666669</v>
      </c>
      <c r="J53" s="2">
        <v>23</v>
      </c>
      <c r="K53" s="2">
        <v>30</v>
      </c>
      <c r="L53" s="2" t="s">
        <v>21</v>
      </c>
      <c r="M53" s="2">
        <v>4</v>
      </c>
      <c r="N53" s="2" t="s">
        <v>22</v>
      </c>
      <c r="O53" s="2">
        <v>195</v>
      </c>
    </row>
    <row r="54" spans="1:15" x14ac:dyDescent="0.25">
      <c r="A54" s="2" t="s">
        <v>144</v>
      </c>
      <c r="B54" s="2" t="s">
        <v>145</v>
      </c>
      <c r="C54" s="3">
        <v>46034</v>
      </c>
      <c r="D54" s="2" t="s">
        <v>32</v>
      </c>
      <c r="E54" s="2" t="s">
        <v>33</v>
      </c>
      <c r="F54" s="2" t="s">
        <v>34</v>
      </c>
      <c r="G54" s="2" t="s">
        <v>20</v>
      </c>
      <c r="H54" s="2">
        <v>12</v>
      </c>
      <c r="I54" s="4">
        <v>0.375</v>
      </c>
      <c r="J54" s="2">
        <v>16</v>
      </c>
      <c r="K54" s="2">
        <v>30</v>
      </c>
      <c r="L54" s="2" t="s">
        <v>21</v>
      </c>
      <c r="M54" s="2">
        <v>5</v>
      </c>
      <c r="N54" s="2" t="s">
        <v>22</v>
      </c>
      <c r="O54" s="2">
        <v>160</v>
      </c>
    </row>
    <row r="55" spans="1:15" x14ac:dyDescent="0.25">
      <c r="A55" s="2" t="s">
        <v>146</v>
      </c>
      <c r="B55" s="2" t="s">
        <v>147</v>
      </c>
      <c r="C55" s="3">
        <v>46034</v>
      </c>
      <c r="D55" s="2" t="s">
        <v>25</v>
      </c>
      <c r="E55" s="2" t="s">
        <v>26</v>
      </c>
      <c r="F55" s="2" t="s">
        <v>27</v>
      </c>
      <c r="G55" s="2" t="s">
        <v>28</v>
      </c>
      <c r="H55" s="2">
        <v>73</v>
      </c>
      <c r="I55" s="4">
        <v>0.39583333333333331</v>
      </c>
      <c r="J55" s="2">
        <v>62</v>
      </c>
      <c r="K55" s="2">
        <v>50</v>
      </c>
      <c r="L55" s="2" t="s">
        <v>21</v>
      </c>
      <c r="M55" s="2">
        <v>2</v>
      </c>
      <c r="N55" s="2" t="s">
        <v>29</v>
      </c>
      <c r="O55" s="2">
        <v>405</v>
      </c>
    </row>
    <row r="56" spans="1:15" x14ac:dyDescent="0.25">
      <c r="A56" s="2" t="s">
        <v>148</v>
      </c>
      <c r="B56" s="2" t="s">
        <v>149</v>
      </c>
      <c r="C56" s="3">
        <v>46034</v>
      </c>
      <c r="D56" s="2" t="s">
        <v>45</v>
      </c>
      <c r="E56" s="2" t="s">
        <v>46</v>
      </c>
      <c r="F56" s="2" t="s">
        <v>27</v>
      </c>
      <c r="G56" s="2" t="s">
        <v>40</v>
      </c>
      <c r="H56" s="2">
        <v>35</v>
      </c>
      <c r="I56" s="4">
        <v>0.41666666666666669</v>
      </c>
      <c r="J56" s="2">
        <v>28</v>
      </c>
      <c r="K56" s="2">
        <v>35</v>
      </c>
      <c r="L56" s="2" t="s">
        <v>21</v>
      </c>
      <c r="M56" s="2">
        <v>4</v>
      </c>
      <c r="N56" s="2" t="s">
        <v>22</v>
      </c>
      <c r="O56" s="2">
        <v>240</v>
      </c>
    </row>
    <row r="57" spans="1:15" x14ac:dyDescent="0.25">
      <c r="A57" s="2" t="s">
        <v>150</v>
      </c>
      <c r="B57" s="2" t="s">
        <v>151</v>
      </c>
      <c r="C57" s="3">
        <v>46034</v>
      </c>
      <c r="D57" s="2" t="s">
        <v>17</v>
      </c>
      <c r="E57" s="2" t="s">
        <v>18</v>
      </c>
      <c r="F57" s="2" t="s">
        <v>19</v>
      </c>
      <c r="G57" s="2" t="s">
        <v>20</v>
      </c>
      <c r="H57" s="2">
        <v>29</v>
      </c>
      <c r="I57" s="4">
        <v>0.4375</v>
      </c>
      <c r="J57" s="2">
        <v>14</v>
      </c>
      <c r="K57" s="2">
        <v>35</v>
      </c>
      <c r="L57" s="2" t="s">
        <v>21</v>
      </c>
      <c r="M57" s="2">
        <v>5</v>
      </c>
      <c r="N57" s="2" t="s">
        <v>22</v>
      </c>
      <c r="O57" s="2">
        <v>175</v>
      </c>
    </row>
    <row r="58" spans="1:15" x14ac:dyDescent="0.25">
      <c r="A58" s="2" t="s">
        <v>152</v>
      </c>
      <c r="B58" s="2" t="s">
        <v>153</v>
      </c>
      <c r="C58" s="3">
        <v>46034</v>
      </c>
      <c r="D58" s="2" t="s">
        <v>32</v>
      </c>
      <c r="E58" s="2" t="s">
        <v>33</v>
      </c>
      <c r="F58" s="2" t="s">
        <v>49</v>
      </c>
      <c r="G58" s="2" t="s">
        <v>20</v>
      </c>
      <c r="H58" s="2">
        <v>3</v>
      </c>
      <c r="I58" s="4">
        <v>0.45833333333333331</v>
      </c>
      <c r="J58" s="2">
        <v>6</v>
      </c>
      <c r="K58" s="2">
        <v>25</v>
      </c>
      <c r="L58" s="2" t="s">
        <v>21</v>
      </c>
      <c r="M58" s="2">
        <v>5</v>
      </c>
      <c r="N58" s="2" t="s">
        <v>22</v>
      </c>
      <c r="O58" s="2">
        <v>135</v>
      </c>
    </row>
    <row r="59" spans="1:15" x14ac:dyDescent="0.25">
      <c r="A59" s="2" t="s">
        <v>154</v>
      </c>
      <c r="B59" s="2" t="s">
        <v>155</v>
      </c>
      <c r="C59" s="3">
        <v>46034</v>
      </c>
      <c r="D59" s="2" t="s">
        <v>37</v>
      </c>
      <c r="E59" s="2" t="s">
        <v>38</v>
      </c>
      <c r="F59" s="2" t="s">
        <v>27</v>
      </c>
      <c r="G59" s="2" t="s">
        <v>40</v>
      </c>
      <c r="H59" s="2">
        <v>54</v>
      </c>
      <c r="I59" s="4">
        <v>0.47916666666666669</v>
      </c>
      <c r="J59" s="2">
        <v>44</v>
      </c>
      <c r="K59" s="2">
        <v>45</v>
      </c>
      <c r="L59" s="2" t="s">
        <v>21</v>
      </c>
      <c r="M59" s="2">
        <v>3</v>
      </c>
      <c r="N59" s="2" t="s">
        <v>22</v>
      </c>
      <c r="O59" s="2">
        <v>300</v>
      </c>
    </row>
    <row r="60" spans="1:15" x14ac:dyDescent="0.25">
      <c r="A60" s="2" t="s">
        <v>156</v>
      </c>
      <c r="B60" s="2" t="s">
        <v>157</v>
      </c>
      <c r="C60" s="3">
        <v>46034</v>
      </c>
      <c r="D60" s="2" t="s">
        <v>25</v>
      </c>
      <c r="E60" s="2" t="s">
        <v>26</v>
      </c>
      <c r="F60" s="2" t="s">
        <v>39</v>
      </c>
      <c r="G60" s="2" t="s">
        <v>28</v>
      </c>
      <c r="H60" s="2">
        <v>77</v>
      </c>
      <c r="I60" s="4">
        <v>0.54166666666666663</v>
      </c>
      <c r="J60" s="2">
        <v>69</v>
      </c>
      <c r="K60" s="2">
        <v>65</v>
      </c>
      <c r="L60" s="2" t="s">
        <v>21</v>
      </c>
      <c r="M60" s="2">
        <v>2</v>
      </c>
      <c r="N60" s="2" t="s">
        <v>29</v>
      </c>
      <c r="O60" s="2">
        <v>575</v>
      </c>
    </row>
    <row r="61" spans="1:15" x14ac:dyDescent="0.25">
      <c r="A61" s="2" t="s">
        <v>158</v>
      </c>
      <c r="B61" s="2" t="s">
        <v>159</v>
      </c>
      <c r="C61" s="3">
        <v>46034</v>
      </c>
      <c r="D61" s="2" t="s">
        <v>45</v>
      </c>
      <c r="E61" s="2" t="s">
        <v>46</v>
      </c>
      <c r="F61" s="2" t="s">
        <v>39</v>
      </c>
      <c r="G61" s="2" t="s">
        <v>40</v>
      </c>
      <c r="H61" s="2">
        <v>46</v>
      </c>
      <c r="I61" s="4">
        <v>0.5625</v>
      </c>
      <c r="J61" s="2">
        <v>38</v>
      </c>
      <c r="K61" s="2">
        <v>50</v>
      </c>
      <c r="L61" s="2" t="s">
        <v>21</v>
      </c>
      <c r="M61" s="2">
        <v>4</v>
      </c>
      <c r="N61" s="2" t="s">
        <v>29</v>
      </c>
      <c r="O61" s="2">
        <v>350</v>
      </c>
    </row>
    <row r="62" spans="1:15" x14ac:dyDescent="0.25">
      <c r="A62" s="2" t="s">
        <v>160</v>
      </c>
      <c r="B62" s="2" t="s">
        <v>161</v>
      </c>
      <c r="C62" s="3">
        <v>46035</v>
      </c>
      <c r="D62" s="2" t="s">
        <v>17</v>
      </c>
      <c r="E62" s="2" t="s">
        <v>18</v>
      </c>
      <c r="F62" s="2" t="s">
        <v>34</v>
      </c>
      <c r="G62" s="2" t="s">
        <v>20</v>
      </c>
      <c r="H62" s="2">
        <v>22</v>
      </c>
      <c r="I62" s="4">
        <v>0.33333333333333331</v>
      </c>
      <c r="J62" s="2">
        <v>19</v>
      </c>
      <c r="K62" s="2">
        <v>30</v>
      </c>
      <c r="L62" s="2" t="s">
        <v>21</v>
      </c>
      <c r="M62" s="2">
        <v>4</v>
      </c>
      <c r="N62" s="2" t="s">
        <v>22</v>
      </c>
      <c r="O62" s="2">
        <v>160</v>
      </c>
    </row>
    <row r="63" spans="1:15" x14ac:dyDescent="0.25">
      <c r="A63" s="2" t="s">
        <v>162</v>
      </c>
      <c r="B63" s="2" t="s">
        <v>163</v>
      </c>
      <c r="C63" s="3">
        <v>46035</v>
      </c>
      <c r="D63" s="2" t="s">
        <v>25</v>
      </c>
      <c r="E63" s="2" t="s">
        <v>26</v>
      </c>
      <c r="F63" s="2" t="s">
        <v>19</v>
      </c>
      <c r="G63" s="2" t="s">
        <v>28</v>
      </c>
      <c r="H63" s="2">
        <v>66</v>
      </c>
      <c r="I63" s="4">
        <v>0.35416666666666669</v>
      </c>
      <c r="J63" s="2">
        <v>48</v>
      </c>
      <c r="K63" s="2">
        <v>50</v>
      </c>
      <c r="L63" s="2" t="s">
        <v>21</v>
      </c>
      <c r="M63" s="2">
        <v>3</v>
      </c>
      <c r="N63" s="2" t="s">
        <v>22</v>
      </c>
      <c r="O63" s="2">
        <v>395</v>
      </c>
    </row>
    <row r="64" spans="1:15" x14ac:dyDescent="0.25">
      <c r="A64" s="2" t="s">
        <v>164</v>
      </c>
      <c r="B64" s="2" t="s">
        <v>165</v>
      </c>
      <c r="C64" s="3">
        <v>46035</v>
      </c>
      <c r="D64" s="2" t="s">
        <v>32</v>
      </c>
      <c r="E64" s="2" t="s">
        <v>33</v>
      </c>
      <c r="F64" s="2" t="s">
        <v>49</v>
      </c>
      <c r="G64" s="2" t="s">
        <v>40</v>
      </c>
      <c r="H64" s="2">
        <v>7</v>
      </c>
      <c r="I64" s="4">
        <v>0.375</v>
      </c>
      <c r="J64" s="2">
        <v>10</v>
      </c>
      <c r="K64" s="2">
        <v>25</v>
      </c>
      <c r="L64" s="2" t="s">
        <v>21</v>
      </c>
      <c r="M64" s="2">
        <v>5</v>
      </c>
      <c r="N64" s="2" t="s">
        <v>22</v>
      </c>
      <c r="O64" s="2">
        <v>150</v>
      </c>
    </row>
    <row r="65" spans="1:15" x14ac:dyDescent="0.25">
      <c r="A65" s="2" t="s">
        <v>166</v>
      </c>
      <c r="B65" s="2" t="s">
        <v>167</v>
      </c>
      <c r="C65" s="3">
        <v>46035</v>
      </c>
      <c r="D65" s="2" t="s">
        <v>37</v>
      </c>
      <c r="E65" s="2" t="s">
        <v>38</v>
      </c>
      <c r="F65" s="2" t="s">
        <v>27</v>
      </c>
      <c r="G65" s="2" t="s">
        <v>20</v>
      </c>
      <c r="H65" s="2">
        <v>42</v>
      </c>
      <c r="I65" s="4">
        <v>0.39583333333333331</v>
      </c>
      <c r="J65" s="2">
        <v>58</v>
      </c>
      <c r="K65" s="2">
        <v>45</v>
      </c>
      <c r="L65" s="2" t="s">
        <v>21</v>
      </c>
      <c r="M65" s="2">
        <v>3</v>
      </c>
      <c r="N65" s="2" t="s">
        <v>22</v>
      </c>
      <c r="O65" s="2">
        <v>285</v>
      </c>
    </row>
    <row r="66" spans="1:15" x14ac:dyDescent="0.25">
      <c r="A66" s="2" t="s">
        <v>168</v>
      </c>
      <c r="B66" s="2" t="s">
        <v>169</v>
      </c>
      <c r="C66" s="3">
        <v>46035</v>
      </c>
      <c r="D66" s="2" t="s">
        <v>45</v>
      </c>
      <c r="E66" s="2" t="s">
        <v>46</v>
      </c>
      <c r="F66" s="2" t="s">
        <v>39</v>
      </c>
      <c r="G66" s="2" t="s">
        <v>40</v>
      </c>
      <c r="H66" s="2">
        <v>31</v>
      </c>
      <c r="I66" s="4">
        <v>0.41666666666666669</v>
      </c>
      <c r="J66" s="2">
        <v>33</v>
      </c>
      <c r="K66" s="2">
        <v>50</v>
      </c>
      <c r="L66" s="2" t="s">
        <v>21</v>
      </c>
      <c r="M66" s="2">
        <v>4</v>
      </c>
      <c r="N66" s="2" t="s">
        <v>29</v>
      </c>
      <c r="O66" s="2">
        <v>335</v>
      </c>
    </row>
    <row r="67" spans="1:15" x14ac:dyDescent="0.25">
      <c r="A67" s="2" t="s">
        <v>170</v>
      </c>
      <c r="B67" s="2" t="s">
        <v>171</v>
      </c>
      <c r="C67" s="3">
        <v>46035</v>
      </c>
      <c r="D67" s="2" t="s">
        <v>17</v>
      </c>
      <c r="E67" s="2" t="s">
        <v>18</v>
      </c>
      <c r="F67" s="2" t="s">
        <v>55</v>
      </c>
      <c r="G67" s="2" t="s">
        <v>28</v>
      </c>
      <c r="H67" s="2">
        <v>75</v>
      </c>
      <c r="I67" s="4">
        <v>0.4375</v>
      </c>
      <c r="J67" s="2">
        <v>26</v>
      </c>
      <c r="K67" s="2">
        <v>25</v>
      </c>
      <c r="L67" s="2" t="s">
        <v>21</v>
      </c>
      <c r="M67" s="2">
        <v>4</v>
      </c>
      <c r="N67" s="2" t="s">
        <v>22</v>
      </c>
      <c r="O67" s="2">
        <v>145</v>
      </c>
    </row>
    <row r="68" spans="1:15" x14ac:dyDescent="0.25">
      <c r="A68" s="2" t="s">
        <v>172</v>
      </c>
      <c r="B68" s="2" t="s">
        <v>173</v>
      </c>
      <c r="C68" s="3">
        <v>46035</v>
      </c>
      <c r="D68" s="2" t="s">
        <v>32</v>
      </c>
      <c r="E68" s="2" t="s">
        <v>33</v>
      </c>
      <c r="F68" s="2" t="s">
        <v>34</v>
      </c>
      <c r="G68" s="2" t="s">
        <v>20</v>
      </c>
      <c r="H68" s="2">
        <v>14</v>
      </c>
      <c r="I68" s="4">
        <v>0.45833333333333331</v>
      </c>
      <c r="J68" s="2">
        <v>18</v>
      </c>
      <c r="K68" s="2">
        <v>30</v>
      </c>
      <c r="L68" s="2" t="s">
        <v>21</v>
      </c>
      <c r="M68" s="2">
        <v>5</v>
      </c>
      <c r="N68" s="2" t="s">
        <v>22</v>
      </c>
      <c r="O68" s="2">
        <v>165</v>
      </c>
    </row>
    <row r="69" spans="1:15" x14ac:dyDescent="0.25">
      <c r="A69" s="2" t="s">
        <v>174</v>
      </c>
      <c r="B69" s="2" t="s">
        <v>175</v>
      </c>
      <c r="C69" s="3">
        <v>46035</v>
      </c>
      <c r="D69" s="2" t="s">
        <v>25</v>
      </c>
      <c r="E69" s="2" t="s">
        <v>26</v>
      </c>
      <c r="F69" s="2" t="s">
        <v>27</v>
      </c>
      <c r="G69" s="2" t="s">
        <v>40</v>
      </c>
      <c r="H69" s="2">
        <v>57</v>
      </c>
      <c r="I69" s="4">
        <v>0.47916666666666669</v>
      </c>
      <c r="J69" s="2">
        <v>52</v>
      </c>
      <c r="K69" s="2">
        <v>45</v>
      </c>
      <c r="L69" s="2" t="s">
        <v>21</v>
      </c>
      <c r="M69" s="2">
        <v>3</v>
      </c>
      <c r="N69" s="2" t="s">
        <v>29</v>
      </c>
      <c r="O69" s="2">
        <v>375</v>
      </c>
    </row>
    <row r="70" spans="1:15" x14ac:dyDescent="0.25">
      <c r="A70" s="2" t="s">
        <v>176</v>
      </c>
      <c r="B70" s="2" t="s">
        <v>177</v>
      </c>
      <c r="C70" s="3">
        <v>46035</v>
      </c>
      <c r="D70" s="2" t="s">
        <v>37</v>
      </c>
      <c r="E70" s="2" t="s">
        <v>38</v>
      </c>
      <c r="F70" s="2" t="s">
        <v>39</v>
      </c>
      <c r="G70" s="2" t="s">
        <v>28</v>
      </c>
      <c r="H70" s="2">
        <v>69</v>
      </c>
      <c r="I70" s="4">
        <v>0.54166666666666663</v>
      </c>
      <c r="J70" s="2">
        <v>71</v>
      </c>
      <c r="K70" s="2">
        <v>60</v>
      </c>
      <c r="L70" s="2" t="s">
        <v>21</v>
      </c>
      <c r="M70" s="2">
        <v>2</v>
      </c>
      <c r="N70" s="2" t="s">
        <v>29</v>
      </c>
      <c r="O70" s="2">
        <v>605</v>
      </c>
    </row>
    <row r="71" spans="1:15" x14ac:dyDescent="0.25">
      <c r="A71" s="2" t="s">
        <v>178</v>
      </c>
      <c r="B71" s="2" t="s">
        <v>179</v>
      </c>
      <c r="C71" s="3">
        <v>46035</v>
      </c>
      <c r="D71" s="2" t="s">
        <v>17</v>
      </c>
      <c r="E71" s="2" t="s">
        <v>18</v>
      </c>
      <c r="F71" s="2" t="s">
        <v>27</v>
      </c>
      <c r="G71" s="2" t="s">
        <v>40</v>
      </c>
      <c r="H71" s="2">
        <v>40</v>
      </c>
      <c r="I71" s="4">
        <v>0.5625</v>
      </c>
      <c r="J71" s="2">
        <v>22</v>
      </c>
      <c r="K71" s="2">
        <v>30</v>
      </c>
      <c r="L71" s="2" t="s">
        <v>58</v>
      </c>
      <c r="N71" s="2" t="s">
        <v>22</v>
      </c>
      <c r="O71" s="2">
        <v>195</v>
      </c>
    </row>
    <row r="72" spans="1:15" x14ac:dyDescent="0.25">
      <c r="A72" s="2" t="s">
        <v>180</v>
      </c>
      <c r="B72" s="2" t="s">
        <v>181</v>
      </c>
      <c r="C72" s="3">
        <v>46036</v>
      </c>
      <c r="D72" s="2" t="s">
        <v>45</v>
      </c>
      <c r="E72" s="2" t="s">
        <v>46</v>
      </c>
      <c r="F72" s="2" t="s">
        <v>27</v>
      </c>
      <c r="G72" s="2" t="s">
        <v>40</v>
      </c>
      <c r="H72" s="2">
        <v>44</v>
      </c>
      <c r="I72" s="4">
        <v>0.33333333333333331</v>
      </c>
      <c r="J72" s="2">
        <v>31</v>
      </c>
      <c r="K72" s="2">
        <v>35</v>
      </c>
      <c r="L72" s="2" t="s">
        <v>21</v>
      </c>
      <c r="M72" s="2">
        <v>4</v>
      </c>
      <c r="N72" s="2" t="s">
        <v>22</v>
      </c>
      <c r="O72" s="2">
        <v>245</v>
      </c>
    </row>
    <row r="73" spans="1:15" x14ac:dyDescent="0.25">
      <c r="A73" s="2" t="s">
        <v>182</v>
      </c>
      <c r="B73" s="2" t="s">
        <v>183</v>
      </c>
      <c r="C73" s="3">
        <v>46036</v>
      </c>
      <c r="D73" s="2" t="s">
        <v>17</v>
      </c>
      <c r="E73" s="2" t="s">
        <v>18</v>
      </c>
      <c r="F73" s="2" t="s">
        <v>39</v>
      </c>
      <c r="G73" s="2" t="s">
        <v>20</v>
      </c>
      <c r="H73" s="2">
        <v>58</v>
      </c>
      <c r="I73" s="4">
        <v>0.35416666666666669</v>
      </c>
      <c r="J73" s="2">
        <v>36</v>
      </c>
      <c r="K73" s="2">
        <v>50</v>
      </c>
      <c r="L73" s="2" t="s">
        <v>21</v>
      </c>
      <c r="M73" s="2">
        <v>4</v>
      </c>
      <c r="N73" s="2" t="s">
        <v>29</v>
      </c>
      <c r="O73" s="2">
        <v>280</v>
      </c>
    </row>
    <row r="74" spans="1:15" x14ac:dyDescent="0.25">
      <c r="A74" s="2" t="s">
        <v>184</v>
      </c>
      <c r="B74" s="2" t="s">
        <v>185</v>
      </c>
      <c r="C74" s="3">
        <v>46036</v>
      </c>
      <c r="D74" s="2" t="s">
        <v>32</v>
      </c>
      <c r="E74" s="2" t="s">
        <v>33</v>
      </c>
      <c r="F74" s="2" t="s">
        <v>34</v>
      </c>
      <c r="G74" s="2" t="s">
        <v>20</v>
      </c>
      <c r="H74" s="2">
        <v>9</v>
      </c>
      <c r="I74" s="4">
        <v>0.375</v>
      </c>
      <c r="J74" s="2">
        <v>11</v>
      </c>
      <c r="K74" s="2">
        <v>30</v>
      </c>
      <c r="L74" s="2" t="s">
        <v>21</v>
      </c>
      <c r="M74" s="2">
        <v>5</v>
      </c>
      <c r="N74" s="2" t="s">
        <v>22</v>
      </c>
      <c r="O74" s="2">
        <v>155</v>
      </c>
    </row>
    <row r="75" spans="1:15" x14ac:dyDescent="0.25">
      <c r="A75" s="2" t="s">
        <v>186</v>
      </c>
      <c r="B75" s="2" t="s">
        <v>187</v>
      </c>
      <c r="C75" s="3">
        <v>46036</v>
      </c>
      <c r="D75" s="2" t="s">
        <v>25</v>
      </c>
      <c r="E75" s="2" t="s">
        <v>26</v>
      </c>
      <c r="F75" s="2" t="s">
        <v>27</v>
      </c>
      <c r="G75" s="2" t="s">
        <v>28</v>
      </c>
      <c r="H75" s="2">
        <v>79</v>
      </c>
      <c r="I75" s="4">
        <v>0.39583333333333331</v>
      </c>
      <c r="J75" s="2">
        <v>66</v>
      </c>
      <c r="K75" s="2">
        <v>55</v>
      </c>
      <c r="L75" s="2" t="s">
        <v>21</v>
      </c>
      <c r="M75" s="2">
        <v>2</v>
      </c>
      <c r="N75" s="2" t="s">
        <v>29</v>
      </c>
      <c r="O75" s="2">
        <v>425</v>
      </c>
    </row>
    <row r="76" spans="1:15" x14ac:dyDescent="0.25">
      <c r="A76" s="2" t="s">
        <v>188</v>
      </c>
      <c r="B76" s="2" t="s">
        <v>189</v>
      </c>
      <c r="C76" s="3">
        <v>46036</v>
      </c>
      <c r="D76" s="2" t="s">
        <v>37</v>
      </c>
      <c r="E76" s="2" t="s">
        <v>38</v>
      </c>
      <c r="F76" s="2" t="s">
        <v>27</v>
      </c>
      <c r="G76" s="2" t="s">
        <v>40</v>
      </c>
      <c r="H76" s="2">
        <v>51</v>
      </c>
      <c r="I76" s="4">
        <v>0.41666666666666669</v>
      </c>
      <c r="J76" s="2">
        <v>47</v>
      </c>
      <c r="K76" s="2">
        <v>45</v>
      </c>
      <c r="L76" s="2" t="s">
        <v>21</v>
      </c>
      <c r="M76" s="2">
        <v>3</v>
      </c>
      <c r="N76" s="2" t="s">
        <v>22</v>
      </c>
      <c r="O76" s="2">
        <v>305</v>
      </c>
    </row>
    <row r="77" spans="1:15" x14ac:dyDescent="0.25">
      <c r="A77" s="2" t="s">
        <v>190</v>
      </c>
      <c r="B77" s="2" t="s">
        <v>191</v>
      </c>
      <c r="C77" s="3">
        <v>46036</v>
      </c>
      <c r="D77" s="2" t="s">
        <v>17</v>
      </c>
      <c r="E77" s="2" t="s">
        <v>18</v>
      </c>
      <c r="F77" s="2" t="s">
        <v>19</v>
      </c>
      <c r="G77" s="2" t="s">
        <v>40</v>
      </c>
      <c r="H77" s="2">
        <v>33</v>
      </c>
      <c r="I77" s="4">
        <v>0.4375</v>
      </c>
      <c r="J77" s="2">
        <v>18</v>
      </c>
      <c r="K77" s="2">
        <v>35</v>
      </c>
      <c r="L77" s="2" t="s">
        <v>21</v>
      </c>
      <c r="M77" s="2">
        <v>5</v>
      </c>
      <c r="N77" s="2" t="s">
        <v>22</v>
      </c>
      <c r="O77" s="2">
        <v>190</v>
      </c>
    </row>
    <row r="78" spans="1:15" x14ac:dyDescent="0.25">
      <c r="A78" s="2" t="s">
        <v>192</v>
      </c>
      <c r="B78" s="2" t="s">
        <v>193</v>
      </c>
      <c r="C78" s="3">
        <v>46036</v>
      </c>
      <c r="D78" s="2" t="s">
        <v>32</v>
      </c>
      <c r="E78" s="2" t="s">
        <v>33</v>
      </c>
      <c r="F78" s="2" t="s">
        <v>49</v>
      </c>
      <c r="G78" s="2" t="s">
        <v>20</v>
      </c>
      <c r="H78" s="2">
        <v>5</v>
      </c>
      <c r="I78" s="4">
        <v>0.45833333333333331</v>
      </c>
      <c r="J78" s="2">
        <v>8</v>
      </c>
      <c r="K78" s="2">
        <v>25</v>
      </c>
      <c r="L78" s="2" t="s">
        <v>21</v>
      </c>
      <c r="M78" s="2">
        <v>5</v>
      </c>
      <c r="N78" s="2" t="s">
        <v>22</v>
      </c>
      <c r="O78" s="2">
        <v>140</v>
      </c>
    </row>
    <row r="79" spans="1:15" x14ac:dyDescent="0.25">
      <c r="A79" s="2" t="s">
        <v>194</v>
      </c>
      <c r="B79" s="2" t="s">
        <v>195</v>
      </c>
      <c r="C79" s="3">
        <v>46036</v>
      </c>
      <c r="D79" s="2" t="s">
        <v>25</v>
      </c>
      <c r="E79" s="2" t="s">
        <v>26</v>
      </c>
      <c r="F79" s="2" t="s">
        <v>39</v>
      </c>
      <c r="G79" s="2" t="s">
        <v>40</v>
      </c>
      <c r="H79" s="2">
        <v>60</v>
      </c>
      <c r="I79" s="4">
        <v>0.47916666666666669</v>
      </c>
      <c r="J79" s="2">
        <v>59</v>
      </c>
      <c r="K79" s="2">
        <v>60</v>
      </c>
      <c r="L79" s="2" t="s">
        <v>21</v>
      </c>
      <c r="M79" s="2">
        <v>3</v>
      </c>
      <c r="N79" s="2" t="s">
        <v>29</v>
      </c>
      <c r="O79" s="2">
        <v>535</v>
      </c>
    </row>
    <row r="80" spans="1:15" x14ac:dyDescent="0.25">
      <c r="A80" s="2" t="s">
        <v>196</v>
      </c>
      <c r="B80" s="2" t="s">
        <v>197</v>
      </c>
      <c r="C80" s="3">
        <v>46036</v>
      </c>
      <c r="D80" s="2" t="s">
        <v>45</v>
      </c>
      <c r="E80" s="2" t="s">
        <v>46</v>
      </c>
      <c r="F80" s="2" t="s">
        <v>39</v>
      </c>
      <c r="G80" s="2" t="s">
        <v>61</v>
      </c>
      <c r="H80" s="2">
        <v>28</v>
      </c>
      <c r="I80" s="4">
        <v>0.54166666666666663</v>
      </c>
      <c r="J80" s="2">
        <v>42</v>
      </c>
      <c r="K80" s="2">
        <v>50</v>
      </c>
      <c r="L80" s="2" t="s">
        <v>21</v>
      </c>
      <c r="M80" s="2">
        <v>3</v>
      </c>
      <c r="N80" s="2" t="s">
        <v>29</v>
      </c>
      <c r="O80" s="2">
        <v>345</v>
      </c>
    </row>
    <row r="81" spans="1:15" x14ac:dyDescent="0.25">
      <c r="A81" s="2" t="s">
        <v>198</v>
      </c>
      <c r="B81" s="2" t="s">
        <v>199</v>
      </c>
      <c r="C81" s="3">
        <v>46036</v>
      </c>
      <c r="D81" s="2" t="s">
        <v>17</v>
      </c>
      <c r="E81" s="2" t="s">
        <v>18</v>
      </c>
      <c r="F81" s="2" t="s">
        <v>27</v>
      </c>
      <c r="G81" s="2" t="s">
        <v>28</v>
      </c>
      <c r="H81" s="2">
        <v>63</v>
      </c>
      <c r="I81" s="4">
        <v>0.5625</v>
      </c>
      <c r="J81" s="2">
        <v>24</v>
      </c>
      <c r="K81" s="2">
        <v>30</v>
      </c>
      <c r="L81" s="2" t="s">
        <v>21</v>
      </c>
      <c r="M81" s="2">
        <v>4</v>
      </c>
      <c r="N81" s="2" t="s">
        <v>22</v>
      </c>
      <c r="O81" s="2">
        <v>205</v>
      </c>
    </row>
    <row r="82" spans="1:15" x14ac:dyDescent="0.25">
      <c r="A82" s="2" t="s">
        <v>200</v>
      </c>
      <c r="B82" s="2" t="s">
        <v>201</v>
      </c>
      <c r="C82" s="3">
        <v>46037</v>
      </c>
      <c r="D82" s="2" t="s">
        <v>37</v>
      </c>
      <c r="E82" s="2" t="s">
        <v>38</v>
      </c>
      <c r="F82" s="2" t="s">
        <v>39</v>
      </c>
      <c r="G82" s="2" t="s">
        <v>40</v>
      </c>
      <c r="H82" s="2">
        <v>57</v>
      </c>
      <c r="I82" s="4">
        <v>0.33333333333333331</v>
      </c>
      <c r="J82" s="2">
        <v>63</v>
      </c>
      <c r="K82" s="2">
        <v>65</v>
      </c>
      <c r="L82" s="2" t="s">
        <v>21</v>
      </c>
      <c r="M82" s="2">
        <v>2</v>
      </c>
      <c r="N82" s="2" t="s">
        <v>29</v>
      </c>
      <c r="O82" s="2">
        <v>595</v>
      </c>
    </row>
    <row r="83" spans="1:15" x14ac:dyDescent="0.25">
      <c r="A83" s="2" t="s">
        <v>202</v>
      </c>
      <c r="B83" s="2" t="s">
        <v>203</v>
      </c>
      <c r="C83" s="3">
        <v>46037</v>
      </c>
      <c r="D83" s="2" t="s">
        <v>17</v>
      </c>
      <c r="E83" s="2" t="s">
        <v>18</v>
      </c>
      <c r="F83" s="2" t="s">
        <v>34</v>
      </c>
      <c r="G83" s="2" t="s">
        <v>20</v>
      </c>
      <c r="H83" s="2">
        <v>26</v>
      </c>
      <c r="I83" s="4">
        <v>0.35416666666666669</v>
      </c>
      <c r="J83" s="2">
        <v>21</v>
      </c>
      <c r="K83" s="2">
        <v>30</v>
      </c>
      <c r="L83" s="2" t="s">
        <v>21</v>
      </c>
      <c r="M83" s="2">
        <v>5</v>
      </c>
      <c r="N83" s="2" t="s">
        <v>22</v>
      </c>
      <c r="O83" s="2">
        <v>160</v>
      </c>
    </row>
    <row r="84" spans="1:15" x14ac:dyDescent="0.25">
      <c r="A84" s="2" t="s">
        <v>204</v>
      </c>
      <c r="B84" s="2" t="s">
        <v>205</v>
      </c>
      <c r="C84" s="3">
        <v>46037</v>
      </c>
      <c r="D84" s="2" t="s">
        <v>32</v>
      </c>
      <c r="E84" s="2" t="s">
        <v>33</v>
      </c>
      <c r="F84" s="2" t="s">
        <v>49</v>
      </c>
      <c r="G84" s="2" t="s">
        <v>20</v>
      </c>
      <c r="H84" s="2">
        <v>8</v>
      </c>
      <c r="I84" s="4">
        <v>0.375</v>
      </c>
      <c r="J84" s="2">
        <v>9</v>
      </c>
      <c r="K84" s="2">
        <v>25</v>
      </c>
      <c r="L84" s="2" t="s">
        <v>21</v>
      </c>
      <c r="M84" s="2">
        <v>5</v>
      </c>
      <c r="N84" s="2" t="s">
        <v>22</v>
      </c>
      <c r="O84" s="2">
        <v>145</v>
      </c>
    </row>
    <row r="85" spans="1:15" x14ac:dyDescent="0.25">
      <c r="A85" s="2" t="s">
        <v>206</v>
      </c>
      <c r="B85" s="2" t="s">
        <v>207</v>
      </c>
      <c r="C85" s="3">
        <v>46037</v>
      </c>
      <c r="D85" s="2" t="s">
        <v>25</v>
      </c>
      <c r="E85" s="2" t="s">
        <v>26</v>
      </c>
      <c r="F85" s="2" t="s">
        <v>27</v>
      </c>
      <c r="G85" s="2" t="s">
        <v>28</v>
      </c>
      <c r="H85" s="2">
        <v>72</v>
      </c>
      <c r="I85" s="4">
        <v>0.39583333333333331</v>
      </c>
      <c r="J85" s="2">
        <v>55</v>
      </c>
      <c r="K85" s="2">
        <v>50</v>
      </c>
      <c r="L85" s="2" t="s">
        <v>21</v>
      </c>
      <c r="M85" s="2">
        <v>3</v>
      </c>
      <c r="N85" s="2" t="s">
        <v>29</v>
      </c>
      <c r="O85" s="2">
        <v>415</v>
      </c>
    </row>
    <row r="86" spans="1:15" x14ac:dyDescent="0.25">
      <c r="A86" s="2" t="s">
        <v>208</v>
      </c>
      <c r="B86" s="2" t="s">
        <v>209</v>
      </c>
      <c r="C86" s="3">
        <v>46037</v>
      </c>
      <c r="D86" s="2" t="s">
        <v>45</v>
      </c>
      <c r="E86" s="2" t="s">
        <v>46</v>
      </c>
      <c r="F86" s="2" t="s">
        <v>27</v>
      </c>
      <c r="G86" s="2" t="s">
        <v>40</v>
      </c>
      <c r="H86" s="2">
        <v>39</v>
      </c>
      <c r="I86" s="4">
        <v>0.41666666666666669</v>
      </c>
      <c r="J86" s="2">
        <v>29</v>
      </c>
      <c r="K86" s="2">
        <v>35</v>
      </c>
      <c r="L86" s="2" t="s">
        <v>21</v>
      </c>
      <c r="M86" s="2">
        <v>4</v>
      </c>
      <c r="N86" s="2" t="s">
        <v>22</v>
      </c>
      <c r="O86" s="2">
        <v>240</v>
      </c>
    </row>
    <row r="87" spans="1:15" x14ac:dyDescent="0.25">
      <c r="A87" s="2" t="s">
        <v>210</v>
      </c>
      <c r="B87" s="2" t="s">
        <v>211</v>
      </c>
      <c r="C87" s="3">
        <v>46037</v>
      </c>
      <c r="D87" s="2" t="s">
        <v>17</v>
      </c>
      <c r="E87" s="2" t="s">
        <v>18</v>
      </c>
      <c r="F87" s="2" t="s">
        <v>19</v>
      </c>
      <c r="G87" s="2" t="s">
        <v>40</v>
      </c>
      <c r="H87" s="2">
        <v>48</v>
      </c>
      <c r="I87" s="4">
        <v>0.4375</v>
      </c>
      <c r="J87" s="2">
        <v>16</v>
      </c>
      <c r="K87" s="2">
        <v>35</v>
      </c>
      <c r="L87" s="2" t="s">
        <v>21</v>
      </c>
      <c r="M87" s="2">
        <v>5</v>
      </c>
      <c r="N87" s="2" t="s">
        <v>22</v>
      </c>
      <c r="O87" s="2">
        <v>190</v>
      </c>
    </row>
    <row r="88" spans="1:15" x14ac:dyDescent="0.25">
      <c r="A88" s="2" t="s">
        <v>212</v>
      </c>
      <c r="B88" s="2" t="s">
        <v>213</v>
      </c>
      <c r="C88" s="3">
        <v>46037</v>
      </c>
      <c r="D88" s="2" t="s">
        <v>32</v>
      </c>
      <c r="E88" s="2" t="s">
        <v>33</v>
      </c>
      <c r="F88" s="2" t="s">
        <v>34</v>
      </c>
      <c r="G88" s="2" t="s">
        <v>20</v>
      </c>
      <c r="H88" s="2">
        <v>13</v>
      </c>
      <c r="I88" s="4">
        <v>0.45833333333333331</v>
      </c>
      <c r="J88" s="2">
        <v>15</v>
      </c>
      <c r="K88" s="2">
        <v>30</v>
      </c>
      <c r="L88" s="2" t="s">
        <v>21</v>
      </c>
      <c r="M88" s="2">
        <v>5</v>
      </c>
      <c r="N88" s="2" t="s">
        <v>22</v>
      </c>
      <c r="O88" s="2">
        <v>160</v>
      </c>
    </row>
    <row r="89" spans="1:15" x14ac:dyDescent="0.25">
      <c r="A89" s="2" t="s">
        <v>214</v>
      </c>
      <c r="B89" s="2" t="s">
        <v>215</v>
      </c>
      <c r="C89" s="3">
        <v>46037</v>
      </c>
      <c r="D89" s="2" t="s">
        <v>25</v>
      </c>
      <c r="E89" s="2" t="s">
        <v>26</v>
      </c>
      <c r="F89" s="2" t="s">
        <v>39</v>
      </c>
      <c r="G89" s="2" t="s">
        <v>28</v>
      </c>
      <c r="H89" s="2">
        <v>80</v>
      </c>
      <c r="I89" s="4">
        <v>0.47916666666666669</v>
      </c>
      <c r="J89" s="2">
        <v>76</v>
      </c>
      <c r="K89" s="2">
        <v>65</v>
      </c>
      <c r="L89" s="2" t="s">
        <v>21</v>
      </c>
      <c r="M89" s="2">
        <v>2</v>
      </c>
      <c r="N89" s="2" t="s">
        <v>29</v>
      </c>
      <c r="O89" s="2">
        <v>590</v>
      </c>
    </row>
    <row r="90" spans="1:15" x14ac:dyDescent="0.25">
      <c r="A90" s="2" t="s">
        <v>216</v>
      </c>
      <c r="B90" s="2" t="s">
        <v>217</v>
      </c>
      <c r="C90" s="3">
        <v>46037</v>
      </c>
      <c r="D90" s="2" t="s">
        <v>37</v>
      </c>
      <c r="E90" s="2" t="s">
        <v>38</v>
      </c>
      <c r="F90" s="2" t="s">
        <v>27</v>
      </c>
      <c r="G90" s="2" t="s">
        <v>40</v>
      </c>
      <c r="H90" s="2">
        <v>46</v>
      </c>
      <c r="I90" s="4">
        <v>0.54166666666666663</v>
      </c>
      <c r="J90" s="2">
        <v>51</v>
      </c>
      <c r="K90" s="2">
        <v>45</v>
      </c>
      <c r="L90" s="2" t="s">
        <v>52</v>
      </c>
      <c r="N90" s="2" t="s">
        <v>22</v>
      </c>
      <c r="O90" s="2">
        <v>295</v>
      </c>
    </row>
    <row r="91" spans="1:15" x14ac:dyDescent="0.25">
      <c r="A91" s="2" t="s">
        <v>218</v>
      </c>
      <c r="B91" s="2" t="s">
        <v>219</v>
      </c>
      <c r="C91" s="3">
        <v>46037</v>
      </c>
      <c r="D91" s="2" t="s">
        <v>17</v>
      </c>
      <c r="E91" s="2" t="s">
        <v>18</v>
      </c>
      <c r="F91" s="2" t="s">
        <v>55</v>
      </c>
      <c r="G91" s="2" t="s">
        <v>20</v>
      </c>
      <c r="H91" s="2">
        <v>59</v>
      </c>
      <c r="I91" s="4">
        <v>0.5625</v>
      </c>
      <c r="J91" s="2">
        <v>28</v>
      </c>
      <c r="K91" s="2">
        <v>25</v>
      </c>
      <c r="L91" s="2" t="s">
        <v>21</v>
      </c>
      <c r="M91" s="2">
        <v>4</v>
      </c>
      <c r="N91" s="2" t="s">
        <v>22</v>
      </c>
      <c r="O91" s="2">
        <v>145</v>
      </c>
    </row>
    <row r="92" spans="1:15" x14ac:dyDescent="0.25">
      <c r="A92" s="2" t="s">
        <v>220</v>
      </c>
      <c r="B92" s="2" t="s">
        <v>221</v>
      </c>
      <c r="C92" s="3">
        <v>46038</v>
      </c>
      <c r="D92" s="2" t="s">
        <v>45</v>
      </c>
      <c r="E92" s="2" t="s">
        <v>46</v>
      </c>
      <c r="F92" s="2" t="s">
        <v>39</v>
      </c>
      <c r="G92" s="2" t="s">
        <v>40</v>
      </c>
      <c r="H92" s="2">
        <v>34</v>
      </c>
      <c r="I92" s="4">
        <v>0.33333333333333331</v>
      </c>
      <c r="J92" s="2">
        <v>40</v>
      </c>
      <c r="K92" s="2">
        <v>50</v>
      </c>
      <c r="L92" s="2" t="s">
        <v>21</v>
      </c>
      <c r="M92" s="2">
        <v>3</v>
      </c>
      <c r="N92" s="2" t="s">
        <v>29</v>
      </c>
      <c r="O92" s="2">
        <v>350</v>
      </c>
    </row>
    <row r="93" spans="1:15" x14ac:dyDescent="0.25">
      <c r="A93" s="2" t="s">
        <v>222</v>
      </c>
      <c r="B93" s="2" t="s">
        <v>223</v>
      </c>
      <c r="C93" s="3">
        <v>46038</v>
      </c>
      <c r="D93" s="2" t="s">
        <v>17</v>
      </c>
      <c r="E93" s="2" t="s">
        <v>18</v>
      </c>
      <c r="F93" s="2" t="s">
        <v>27</v>
      </c>
      <c r="G93" s="2" t="s">
        <v>28</v>
      </c>
      <c r="H93" s="2">
        <v>70</v>
      </c>
      <c r="I93" s="4">
        <v>0.35416666666666669</v>
      </c>
      <c r="J93" s="2">
        <v>20</v>
      </c>
      <c r="K93" s="2">
        <v>30</v>
      </c>
      <c r="L93" s="2" t="s">
        <v>21</v>
      </c>
      <c r="M93" s="2">
        <v>4</v>
      </c>
      <c r="N93" s="2" t="s">
        <v>22</v>
      </c>
      <c r="O93" s="2">
        <v>200</v>
      </c>
    </row>
    <row r="94" spans="1:15" x14ac:dyDescent="0.25">
      <c r="A94" s="2" t="s">
        <v>224</v>
      </c>
      <c r="B94" s="2" t="s">
        <v>225</v>
      </c>
      <c r="C94" s="3">
        <v>46038</v>
      </c>
      <c r="D94" s="2" t="s">
        <v>32</v>
      </c>
      <c r="E94" s="2" t="s">
        <v>33</v>
      </c>
      <c r="F94" s="2" t="s">
        <v>49</v>
      </c>
      <c r="G94" s="2" t="s">
        <v>20</v>
      </c>
      <c r="H94" s="2">
        <v>4</v>
      </c>
      <c r="I94" s="4">
        <v>0.375</v>
      </c>
      <c r="J94" s="2">
        <v>7</v>
      </c>
      <c r="K94" s="2">
        <v>25</v>
      </c>
      <c r="L94" s="2" t="s">
        <v>21</v>
      </c>
      <c r="M94" s="2">
        <v>5</v>
      </c>
      <c r="N94" s="2" t="s">
        <v>22</v>
      </c>
      <c r="O94" s="2">
        <v>140</v>
      </c>
    </row>
    <row r="95" spans="1:15" x14ac:dyDescent="0.25">
      <c r="A95" s="2" t="s">
        <v>226</v>
      </c>
      <c r="B95" s="2" t="s">
        <v>227</v>
      </c>
      <c r="C95" s="3">
        <v>46038</v>
      </c>
      <c r="D95" s="2" t="s">
        <v>25</v>
      </c>
      <c r="E95" s="2" t="s">
        <v>26</v>
      </c>
      <c r="F95" s="2" t="s">
        <v>27</v>
      </c>
      <c r="G95" s="2" t="s">
        <v>28</v>
      </c>
      <c r="H95" s="2">
        <v>68</v>
      </c>
      <c r="I95" s="4">
        <v>0.39583333333333331</v>
      </c>
      <c r="J95" s="2">
        <v>49</v>
      </c>
      <c r="K95" s="2">
        <v>50</v>
      </c>
      <c r="L95" s="2" t="s">
        <v>21</v>
      </c>
      <c r="M95" s="2">
        <v>3</v>
      </c>
      <c r="N95" s="2" t="s">
        <v>29</v>
      </c>
      <c r="O95" s="2">
        <v>405</v>
      </c>
    </row>
    <row r="96" spans="1:15" x14ac:dyDescent="0.25">
      <c r="A96" s="2" t="s">
        <v>228</v>
      </c>
      <c r="B96" s="2" t="s">
        <v>229</v>
      </c>
      <c r="C96" s="3">
        <v>46038</v>
      </c>
      <c r="D96" s="2" t="s">
        <v>37</v>
      </c>
      <c r="E96" s="2" t="s">
        <v>38</v>
      </c>
      <c r="F96" s="2" t="s">
        <v>39</v>
      </c>
      <c r="G96" s="2" t="s">
        <v>20</v>
      </c>
      <c r="H96" s="2">
        <v>63</v>
      </c>
      <c r="I96" s="4">
        <v>0.41666666666666669</v>
      </c>
      <c r="J96" s="2">
        <v>74</v>
      </c>
      <c r="K96" s="2">
        <v>65</v>
      </c>
      <c r="L96" s="2" t="s">
        <v>21</v>
      </c>
      <c r="M96" s="2">
        <v>2</v>
      </c>
      <c r="N96" s="2" t="s">
        <v>29</v>
      </c>
      <c r="O96" s="2">
        <v>600</v>
      </c>
    </row>
    <row r="97" spans="1:15" x14ac:dyDescent="0.25">
      <c r="A97" s="2" t="s">
        <v>230</v>
      </c>
      <c r="B97" s="2" t="s">
        <v>231</v>
      </c>
      <c r="C97" s="3">
        <v>46038</v>
      </c>
      <c r="D97" s="2" t="s">
        <v>17</v>
      </c>
      <c r="E97" s="2" t="s">
        <v>18</v>
      </c>
      <c r="F97" s="2" t="s">
        <v>34</v>
      </c>
      <c r="G97" s="2" t="s">
        <v>40</v>
      </c>
      <c r="H97" s="2">
        <v>37</v>
      </c>
      <c r="I97" s="4">
        <v>0.4375</v>
      </c>
      <c r="J97" s="2">
        <v>23</v>
      </c>
      <c r="K97" s="2">
        <v>30</v>
      </c>
      <c r="L97" s="2" t="s">
        <v>21</v>
      </c>
      <c r="M97" s="2">
        <v>4</v>
      </c>
      <c r="N97" s="2" t="s">
        <v>22</v>
      </c>
      <c r="O97" s="2">
        <v>170</v>
      </c>
    </row>
    <row r="98" spans="1:15" x14ac:dyDescent="0.25">
      <c r="A98" s="2" t="s">
        <v>232</v>
      </c>
      <c r="B98" s="2" t="s">
        <v>233</v>
      </c>
      <c r="C98" s="3">
        <v>46038</v>
      </c>
      <c r="D98" s="2" t="s">
        <v>32</v>
      </c>
      <c r="E98" s="2" t="s">
        <v>33</v>
      </c>
      <c r="F98" s="2" t="s">
        <v>34</v>
      </c>
      <c r="G98" s="2" t="s">
        <v>20</v>
      </c>
      <c r="H98" s="2">
        <v>15</v>
      </c>
      <c r="I98" s="4">
        <v>0.45833333333333331</v>
      </c>
      <c r="J98" s="2">
        <v>13</v>
      </c>
      <c r="K98" s="2">
        <v>30</v>
      </c>
      <c r="L98" s="2" t="s">
        <v>21</v>
      </c>
      <c r="M98" s="2">
        <v>5</v>
      </c>
      <c r="N98" s="2" t="s">
        <v>22</v>
      </c>
      <c r="O98" s="2">
        <v>165</v>
      </c>
    </row>
    <row r="99" spans="1:15" x14ac:dyDescent="0.25">
      <c r="A99" s="2" t="s">
        <v>234</v>
      </c>
      <c r="B99" s="2" t="s">
        <v>235</v>
      </c>
      <c r="C99" s="3">
        <v>46038</v>
      </c>
      <c r="D99" s="2" t="s">
        <v>45</v>
      </c>
      <c r="E99" s="2" t="s">
        <v>46</v>
      </c>
      <c r="F99" s="2" t="s">
        <v>27</v>
      </c>
      <c r="G99" s="2" t="s">
        <v>40</v>
      </c>
      <c r="H99" s="2">
        <v>45</v>
      </c>
      <c r="I99" s="4">
        <v>0.47916666666666669</v>
      </c>
      <c r="J99" s="2">
        <v>35</v>
      </c>
      <c r="K99" s="2">
        <v>35</v>
      </c>
      <c r="L99" s="2" t="s">
        <v>21</v>
      </c>
      <c r="M99" s="2">
        <v>4</v>
      </c>
      <c r="N99" s="2" t="s">
        <v>22</v>
      </c>
      <c r="O99" s="2">
        <v>235</v>
      </c>
    </row>
    <row r="100" spans="1:15" x14ac:dyDescent="0.25">
      <c r="A100" s="2" t="s">
        <v>236</v>
      </c>
      <c r="B100" s="2" t="s">
        <v>237</v>
      </c>
      <c r="C100" s="3">
        <v>46038</v>
      </c>
      <c r="D100" s="2" t="s">
        <v>25</v>
      </c>
      <c r="E100" s="2" t="s">
        <v>26</v>
      </c>
      <c r="F100" s="2" t="s">
        <v>39</v>
      </c>
      <c r="G100" s="2" t="s">
        <v>40</v>
      </c>
      <c r="H100" s="2">
        <v>56</v>
      </c>
      <c r="I100" s="4">
        <v>0.54166666666666663</v>
      </c>
      <c r="J100" s="2">
        <v>58</v>
      </c>
      <c r="K100" s="2">
        <v>60</v>
      </c>
      <c r="L100" s="2" t="s">
        <v>21</v>
      </c>
      <c r="M100" s="2">
        <v>3</v>
      </c>
      <c r="N100" s="2" t="s">
        <v>29</v>
      </c>
      <c r="O100" s="2">
        <v>525</v>
      </c>
    </row>
    <row r="101" spans="1:15" x14ac:dyDescent="0.25">
      <c r="A101" s="2" t="s">
        <v>238</v>
      </c>
      <c r="B101" s="2" t="s">
        <v>239</v>
      </c>
      <c r="C101" s="3">
        <v>46038</v>
      </c>
      <c r="D101" s="2" t="s">
        <v>17</v>
      </c>
      <c r="E101" s="2" t="s">
        <v>18</v>
      </c>
      <c r="F101" s="2" t="s">
        <v>19</v>
      </c>
      <c r="G101" s="2" t="s">
        <v>20</v>
      </c>
      <c r="H101" s="2">
        <v>32</v>
      </c>
      <c r="I101" s="4">
        <v>0.5625</v>
      </c>
      <c r="J101" s="2">
        <v>17</v>
      </c>
      <c r="K101" s="2">
        <v>35</v>
      </c>
      <c r="L101" s="2" t="s">
        <v>21</v>
      </c>
      <c r="M101" s="2">
        <v>5</v>
      </c>
      <c r="N101" s="2" t="s">
        <v>22</v>
      </c>
      <c r="O101" s="2">
        <v>180</v>
      </c>
    </row>
  </sheetData>
  <autoFilter ref="A1:O101" xr:uid="{07F9090B-D2C6-4248-90A3-039E199C31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3213-23D2-44A5-8BCE-F8905A309A7F}">
  <dimension ref="A1:Q102"/>
  <sheetViews>
    <sheetView topLeftCell="C1" zoomScale="130" zoomScaleNormal="130" workbookViewId="0">
      <selection activeCell="D5" sqref="D5"/>
    </sheetView>
  </sheetViews>
  <sheetFormatPr defaultRowHeight="15" x14ac:dyDescent="0.25"/>
  <cols>
    <col min="1" max="1" width="17.7109375" style="2" customWidth="1"/>
    <col min="2" max="2" width="12.42578125" style="2" customWidth="1"/>
    <col min="3" max="3" width="20" style="2" customWidth="1"/>
    <col min="4" max="4" width="14" style="2" customWidth="1"/>
    <col min="5" max="5" width="11.85546875" style="2" bestFit="1" customWidth="1"/>
    <col min="6" max="6" width="20" style="2" customWidth="1"/>
    <col min="7" max="7" width="17.140625" style="2" customWidth="1"/>
    <col min="8" max="8" width="13.7109375" style="2" customWidth="1"/>
    <col min="9" max="9" width="20.140625" style="2" customWidth="1"/>
    <col min="10" max="10" width="20.7109375" style="2" customWidth="1"/>
    <col min="11" max="11" width="31.7109375" style="2" customWidth="1"/>
    <col min="12" max="12" width="10.42578125" style="2" bestFit="1" customWidth="1"/>
    <col min="13" max="13" width="19.85546875" style="2" customWidth="1"/>
    <col min="14" max="14" width="10.42578125" style="2" customWidth="1"/>
    <col min="15" max="15" width="16.5703125" style="2" customWidth="1"/>
    <col min="16" max="16384" width="9.140625" style="2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245</v>
      </c>
      <c r="Q1" s="2" t="s">
        <v>246</v>
      </c>
    </row>
    <row r="2" spans="1:17" x14ac:dyDescent="0.25">
      <c r="A2" s="2" t="s">
        <v>15</v>
      </c>
      <c r="B2" s="2" t="s">
        <v>16</v>
      </c>
      <c r="C2" s="3">
        <v>46027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34</v>
      </c>
      <c r="I2" s="4">
        <v>0.33333333333333331</v>
      </c>
      <c r="J2" s="2">
        <v>18</v>
      </c>
      <c r="K2" s="2">
        <v>35</v>
      </c>
      <c r="L2" s="2" t="s">
        <v>21</v>
      </c>
      <c r="M2" s="2">
        <v>5</v>
      </c>
      <c r="N2" s="2" t="s">
        <v>22</v>
      </c>
      <c r="O2" s="2">
        <v>185</v>
      </c>
    </row>
    <row r="3" spans="1:17" x14ac:dyDescent="0.25">
      <c r="A3" s="2" t="s">
        <v>23</v>
      </c>
      <c r="B3" s="2" t="s">
        <v>24</v>
      </c>
      <c r="C3" s="3">
        <v>46027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67</v>
      </c>
      <c r="I3" s="4">
        <v>0.35416666666666669</v>
      </c>
      <c r="J3" s="2">
        <v>42</v>
      </c>
      <c r="K3" s="2">
        <v>50</v>
      </c>
      <c r="L3" s="2" t="s">
        <v>21</v>
      </c>
      <c r="M3" s="2">
        <v>3</v>
      </c>
      <c r="N3" s="2" t="s">
        <v>29</v>
      </c>
      <c r="O3" s="2">
        <v>420</v>
      </c>
    </row>
    <row r="4" spans="1:17" x14ac:dyDescent="0.25">
      <c r="A4" s="2" t="s">
        <v>30</v>
      </c>
      <c r="B4" s="2" t="s">
        <v>31</v>
      </c>
      <c r="C4" s="3">
        <v>46027</v>
      </c>
      <c r="D4" s="2" t="s">
        <v>32</v>
      </c>
      <c r="E4" s="2" t="s">
        <v>33</v>
      </c>
      <c r="F4" s="2" t="s">
        <v>34</v>
      </c>
      <c r="G4" s="2" t="s">
        <v>20</v>
      </c>
      <c r="H4" s="2">
        <v>8</v>
      </c>
      <c r="I4" s="4">
        <v>0.375</v>
      </c>
      <c r="J4" s="2">
        <v>12</v>
      </c>
      <c r="K4" s="2">
        <v>30</v>
      </c>
      <c r="L4" s="2" t="s">
        <v>21</v>
      </c>
      <c r="M4" s="2">
        <v>5</v>
      </c>
      <c r="N4" s="2" t="s">
        <v>22</v>
      </c>
      <c r="O4" s="2">
        <v>160</v>
      </c>
    </row>
    <row r="5" spans="1:17" x14ac:dyDescent="0.25">
      <c r="A5" s="2" t="s">
        <v>35</v>
      </c>
      <c r="B5" s="2" t="s">
        <v>36</v>
      </c>
      <c r="C5" s="3">
        <v>46027</v>
      </c>
      <c r="D5" s="2" t="s">
        <v>37</v>
      </c>
      <c r="E5" s="2" t="s">
        <v>38</v>
      </c>
      <c r="F5" s="2" t="s">
        <v>39</v>
      </c>
      <c r="G5" s="2" t="s">
        <v>40</v>
      </c>
      <c r="H5" s="2">
        <v>52</v>
      </c>
      <c r="I5" s="4">
        <v>0.39583333333333331</v>
      </c>
      <c r="J5" s="2">
        <v>55</v>
      </c>
      <c r="K5" s="2">
        <v>60</v>
      </c>
      <c r="L5" s="2" t="s">
        <v>21</v>
      </c>
      <c r="M5" s="2">
        <v>2</v>
      </c>
      <c r="N5" s="2" t="s">
        <v>29</v>
      </c>
      <c r="O5" s="2">
        <v>575</v>
      </c>
    </row>
    <row r="6" spans="1:17" x14ac:dyDescent="0.25">
      <c r="A6" s="2" t="s">
        <v>41</v>
      </c>
      <c r="B6" s="2" t="s">
        <v>42</v>
      </c>
      <c r="C6" s="3">
        <v>46027</v>
      </c>
      <c r="D6" s="2" t="s">
        <v>17</v>
      </c>
      <c r="E6" s="2" t="s">
        <v>18</v>
      </c>
      <c r="F6" s="2" t="s">
        <v>27</v>
      </c>
      <c r="G6" s="2" t="s">
        <v>40</v>
      </c>
      <c r="H6" s="2">
        <v>45</v>
      </c>
      <c r="I6" s="4">
        <v>0.41666666666666669</v>
      </c>
      <c r="J6" s="2">
        <v>21</v>
      </c>
      <c r="K6" s="2">
        <v>30</v>
      </c>
      <c r="L6" s="2" t="s">
        <v>21</v>
      </c>
      <c r="M6" s="2">
        <v>4</v>
      </c>
      <c r="N6" s="2" t="s">
        <v>22</v>
      </c>
      <c r="O6" s="2">
        <v>210</v>
      </c>
    </row>
    <row r="7" spans="1:17" x14ac:dyDescent="0.25">
      <c r="A7" s="2" t="s">
        <v>43</v>
      </c>
      <c r="B7" s="2" t="s">
        <v>44</v>
      </c>
      <c r="C7" s="3">
        <v>46027</v>
      </c>
      <c r="D7" s="2" t="s">
        <v>45</v>
      </c>
      <c r="E7" s="2" t="s">
        <v>46</v>
      </c>
      <c r="F7" s="2" t="s">
        <v>39</v>
      </c>
      <c r="G7" s="2" t="s">
        <v>40</v>
      </c>
      <c r="H7" s="2">
        <v>29</v>
      </c>
      <c r="I7" s="4">
        <v>0.4375</v>
      </c>
      <c r="J7" s="2">
        <v>35</v>
      </c>
      <c r="K7" s="2">
        <v>45</v>
      </c>
      <c r="L7" s="2" t="s">
        <v>21</v>
      </c>
      <c r="M7" s="2">
        <v>4</v>
      </c>
      <c r="N7" s="2" t="s">
        <v>29</v>
      </c>
      <c r="O7" s="2">
        <v>315</v>
      </c>
    </row>
    <row r="8" spans="1:17" x14ac:dyDescent="0.25">
      <c r="A8" s="2" t="s">
        <v>47</v>
      </c>
      <c r="B8" s="2" t="s">
        <v>48</v>
      </c>
      <c r="C8" s="3">
        <v>46027</v>
      </c>
      <c r="D8" s="2" t="s">
        <v>32</v>
      </c>
      <c r="E8" s="2" t="s">
        <v>33</v>
      </c>
      <c r="F8" s="2" t="s">
        <v>49</v>
      </c>
      <c r="G8" s="2" t="s">
        <v>20</v>
      </c>
      <c r="H8" s="2">
        <v>5</v>
      </c>
      <c r="I8" s="4">
        <v>0.45833333333333331</v>
      </c>
      <c r="J8" s="2">
        <v>9</v>
      </c>
      <c r="K8" s="2">
        <v>25</v>
      </c>
      <c r="L8" s="2" t="s">
        <v>21</v>
      </c>
      <c r="M8" s="2">
        <v>5</v>
      </c>
      <c r="N8" s="2" t="s">
        <v>22</v>
      </c>
      <c r="O8" s="2">
        <v>145</v>
      </c>
    </row>
    <row r="9" spans="1:17" x14ac:dyDescent="0.25">
      <c r="A9" s="2" t="s">
        <v>50</v>
      </c>
      <c r="B9" s="2" t="s">
        <v>51</v>
      </c>
      <c r="C9" s="3">
        <v>46027</v>
      </c>
      <c r="D9" s="2" t="s">
        <v>25</v>
      </c>
      <c r="E9" s="2" t="s">
        <v>26</v>
      </c>
      <c r="F9" s="2" t="s">
        <v>39</v>
      </c>
      <c r="G9" s="2" t="s">
        <v>28</v>
      </c>
      <c r="H9" s="2">
        <v>71</v>
      </c>
      <c r="I9" s="4">
        <v>0.47916666666666669</v>
      </c>
      <c r="J9" s="2">
        <v>61</v>
      </c>
      <c r="K9" s="2">
        <v>55</v>
      </c>
      <c r="L9" s="2" t="s">
        <v>52</v>
      </c>
      <c r="N9" s="2" t="s">
        <v>29</v>
      </c>
      <c r="O9" s="2">
        <v>450</v>
      </c>
    </row>
    <row r="10" spans="1:17" x14ac:dyDescent="0.25">
      <c r="A10" s="2" t="s">
        <v>53</v>
      </c>
      <c r="B10" s="2" t="s">
        <v>54</v>
      </c>
      <c r="C10" s="3">
        <v>46027</v>
      </c>
      <c r="D10" s="2" t="s">
        <v>17</v>
      </c>
      <c r="E10" s="2" t="s">
        <v>18</v>
      </c>
      <c r="F10" s="2" t="s">
        <v>55</v>
      </c>
      <c r="G10" s="2" t="s">
        <v>20</v>
      </c>
      <c r="H10" s="2">
        <v>61</v>
      </c>
      <c r="I10" s="4">
        <v>0.54166666666666663</v>
      </c>
      <c r="J10" s="2">
        <v>27</v>
      </c>
      <c r="K10" s="2">
        <v>25</v>
      </c>
      <c r="L10" s="2" t="s">
        <v>21</v>
      </c>
      <c r="M10" s="2">
        <v>4</v>
      </c>
      <c r="N10" s="2" t="s">
        <v>22</v>
      </c>
      <c r="O10" s="2">
        <v>135</v>
      </c>
    </row>
    <row r="11" spans="1:17" x14ac:dyDescent="0.25">
      <c r="A11" s="2" t="s">
        <v>56</v>
      </c>
      <c r="B11" s="2" t="s">
        <v>57</v>
      </c>
      <c r="C11" s="3">
        <v>46027</v>
      </c>
      <c r="D11" s="2" t="s">
        <v>37</v>
      </c>
      <c r="E11" s="2" t="s">
        <v>38</v>
      </c>
      <c r="F11" s="2" t="s">
        <v>27</v>
      </c>
      <c r="G11" s="2" t="s">
        <v>40</v>
      </c>
      <c r="H11" s="2">
        <v>39</v>
      </c>
      <c r="I11" s="4">
        <v>0.5625</v>
      </c>
      <c r="J11" s="2">
        <v>48</v>
      </c>
      <c r="K11" s="2">
        <v>40</v>
      </c>
      <c r="L11" s="2" t="s">
        <v>58</v>
      </c>
      <c r="N11" s="2" t="s">
        <v>22</v>
      </c>
      <c r="O11" s="2">
        <v>290</v>
      </c>
    </row>
    <row r="12" spans="1:17" x14ac:dyDescent="0.25">
      <c r="A12" s="2" t="s">
        <v>59</v>
      </c>
      <c r="B12" s="2" t="s">
        <v>60</v>
      </c>
      <c r="C12" s="3">
        <v>46028</v>
      </c>
      <c r="D12" s="2" t="s">
        <v>17</v>
      </c>
      <c r="E12" s="2" t="s">
        <v>18</v>
      </c>
      <c r="F12" s="2" t="s">
        <v>39</v>
      </c>
      <c r="G12" s="2" t="s">
        <v>61</v>
      </c>
      <c r="H12" s="2">
        <v>27</v>
      </c>
      <c r="I12" s="4">
        <v>0.33333333333333331</v>
      </c>
      <c r="J12" s="2">
        <v>31</v>
      </c>
      <c r="K12" s="2">
        <v>45</v>
      </c>
      <c r="L12" s="2" t="s">
        <v>21</v>
      </c>
      <c r="M12" s="2">
        <v>4</v>
      </c>
      <c r="N12" s="2" t="s">
        <v>29</v>
      </c>
      <c r="O12" s="2">
        <v>225</v>
      </c>
    </row>
    <row r="13" spans="1:17" x14ac:dyDescent="0.25">
      <c r="A13" s="2" t="s">
        <v>62</v>
      </c>
      <c r="B13" s="2" t="s">
        <v>63</v>
      </c>
      <c r="C13" s="3">
        <v>46028</v>
      </c>
      <c r="D13" s="2" t="s">
        <v>25</v>
      </c>
      <c r="E13" s="2" t="s">
        <v>26</v>
      </c>
      <c r="F13" s="2" t="s">
        <v>27</v>
      </c>
      <c r="G13" s="2" t="s">
        <v>28</v>
      </c>
      <c r="H13" s="2">
        <v>74</v>
      </c>
      <c r="I13" s="4">
        <v>0.35416666666666669</v>
      </c>
      <c r="J13" s="2">
        <v>38</v>
      </c>
      <c r="K13" s="2">
        <v>50</v>
      </c>
      <c r="L13" s="2" t="s">
        <v>21</v>
      </c>
      <c r="M13" s="2">
        <v>3</v>
      </c>
      <c r="N13" s="2" t="s">
        <v>29</v>
      </c>
      <c r="O13" s="2">
        <v>410</v>
      </c>
    </row>
    <row r="14" spans="1:17" x14ac:dyDescent="0.25">
      <c r="A14" s="2" t="s">
        <v>64</v>
      </c>
      <c r="B14" s="2" t="s">
        <v>65</v>
      </c>
      <c r="C14" s="3">
        <v>46028</v>
      </c>
      <c r="D14" s="2" t="s">
        <v>32</v>
      </c>
      <c r="E14" s="2" t="s">
        <v>33</v>
      </c>
      <c r="F14" s="2" t="s">
        <v>34</v>
      </c>
      <c r="G14" s="2" t="s">
        <v>20</v>
      </c>
      <c r="H14" s="2">
        <v>11</v>
      </c>
      <c r="I14" s="4">
        <v>0.375</v>
      </c>
      <c r="J14" s="2">
        <v>14</v>
      </c>
      <c r="K14" s="2">
        <v>30</v>
      </c>
      <c r="L14" s="2" t="s">
        <v>21</v>
      </c>
      <c r="M14" s="2">
        <v>5</v>
      </c>
      <c r="N14" s="2" t="s">
        <v>22</v>
      </c>
      <c r="O14" s="2">
        <v>155</v>
      </c>
    </row>
    <row r="15" spans="1:17" x14ac:dyDescent="0.25">
      <c r="A15" s="2" t="s">
        <v>66</v>
      </c>
      <c r="B15" s="2" t="s">
        <v>67</v>
      </c>
      <c r="C15" s="3">
        <v>46028</v>
      </c>
      <c r="D15" s="2" t="s">
        <v>45</v>
      </c>
      <c r="E15" s="2" t="s">
        <v>46</v>
      </c>
      <c r="F15" s="2" t="s">
        <v>27</v>
      </c>
      <c r="G15" s="2" t="s">
        <v>40</v>
      </c>
      <c r="H15" s="2">
        <v>33</v>
      </c>
      <c r="I15" s="4">
        <v>0.39583333333333331</v>
      </c>
      <c r="J15" s="2">
        <v>26</v>
      </c>
      <c r="K15" s="2">
        <v>35</v>
      </c>
      <c r="L15" s="2" t="s">
        <v>21</v>
      </c>
      <c r="M15" s="2">
        <v>4</v>
      </c>
      <c r="N15" s="2" t="s">
        <v>22</v>
      </c>
      <c r="O15" s="2">
        <v>245</v>
      </c>
    </row>
    <row r="16" spans="1:17" x14ac:dyDescent="0.25">
      <c r="A16" s="2" t="s">
        <v>68</v>
      </c>
      <c r="B16" s="2" t="s">
        <v>69</v>
      </c>
      <c r="C16" s="3">
        <v>46028</v>
      </c>
      <c r="D16" s="2" t="s">
        <v>37</v>
      </c>
      <c r="E16" s="2" t="s">
        <v>38</v>
      </c>
      <c r="F16" s="2" t="s">
        <v>39</v>
      </c>
      <c r="G16" s="2" t="s">
        <v>28</v>
      </c>
      <c r="H16" s="2">
        <v>68</v>
      </c>
      <c r="I16" s="4">
        <v>0.41666666666666669</v>
      </c>
      <c r="J16" s="2">
        <v>72</v>
      </c>
      <c r="K16" s="2">
        <v>65</v>
      </c>
      <c r="L16" s="2" t="s">
        <v>21</v>
      </c>
      <c r="M16" s="2">
        <v>2</v>
      </c>
      <c r="N16" s="2" t="s">
        <v>29</v>
      </c>
      <c r="O16" s="2">
        <v>610</v>
      </c>
    </row>
    <row r="17" spans="1:15" x14ac:dyDescent="0.25">
      <c r="A17" s="2" t="s">
        <v>70</v>
      </c>
      <c r="B17" s="2" t="s">
        <v>71</v>
      </c>
      <c r="C17" s="3">
        <v>46028</v>
      </c>
      <c r="D17" s="2" t="s">
        <v>17</v>
      </c>
      <c r="E17" s="2" t="s">
        <v>18</v>
      </c>
      <c r="F17" s="2" t="s">
        <v>19</v>
      </c>
      <c r="G17" s="2" t="s">
        <v>40</v>
      </c>
      <c r="H17" s="2">
        <v>50</v>
      </c>
      <c r="I17" s="4">
        <v>0.4375</v>
      </c>
      <c r="J17" s="2">
        <v>19</v>
      </c>
      <c r="K17" s="2">
        <v>35</v>
      </c>
      <c r="L17" s="2" t="s">
        <v>21</v>
      </c>
      <c r="M17" s="2">
        <v>5</v>
      </c>
      <c r="N17" s="2" t="s">
        <v>22</v>
      </c>
      <c r="O17" s="2">
        <v>190</v>
      </c>
    </row>
    <row r="18" spans="1:15" x14ac:dyDescent="0.25">
      <c r="A18" s="2" t="s">
        <v>72</v>
      </c>
      <c r="B18" s="2" t="s">
        <v>73</v>
      </c>
      <c r="C18" s="3">
        <v>46028</v>
      </c>
      <c r="D18" s="2" t="s">
        <v>32</v>
      </c>
      <c r="E18" s="2" t="s">
        <v>33</v>
      </c>
      <c r="F18" s="2" t="s">
        <v>49</v>
      </c>
      <c r="G18" s="2" t="s">
        <v>20</v>
      </c>
      <c r="H18" s="2">
        <v>7</v>
      </c>
      <c r="I18" s="4">
        <v>0.45833333333333331</v>
      </c>
      <c r="J18" s="2">
        <v>11</v>
      </c>
      <c r="K18" s="2">
        <v>25</v>
      </c>
      <c r="L18" s="2" t="s">
        <v>21</v>
      </c>
      <c r="M18" s="2">
        <v>5</v>
      </c>
      <c r="N18" s="2" t="s">
        <v>22</v>
      </c>
      <c r="O18" s="2">
        <v>140</v>
      </c>
    </row>
    <row r="19" spans="1:15" x14ac:dyDescent="0.25">
      <c r="A19" s="2" t="s">
        <v>74</v>
      </c>
      <c r="B19" s="2" t="s">
        <v>75</v>
      </c>
      <c r="C19" s="3">
        <v>46028</v>
      </c>
      <c r="D19" s="2" t="s">
        <v>25</v>
      </c>
      <c r="E19" s="2" t="s">
        <v>26</v>
      </c>
      <c r="F19" s="2" t="s">
        <v>39</v>
      </c>
      <c r="G19" s="2" t="s">
        <v>40</v>
      </c>
      <c r="H19" s="2">
        <v>59</v>
      </c>
      <c r="I19" s="4">
        <v>0.47916666666666669</v>
      </c>
      <c r="J19" s="2">
        <v>47</v>
      </c>
      <c r="K19" s="2">
        <v>60</v>
      </c>
      <c r="L19" s="2" t="s">
        <v>21</v>
      </c>
      <c r="M19" s="2">
        <v>3</v>
      </c>
      <c r="N19" s="2" t="s">
        <v>29</v>
      </c>
      <c r="O19" s="2">
        <v>525</v>
      </c>
    </row>
    <row r="20" spans="1:15" x14ac:dyDescent="0.25">
      <c r="A20" s="2" t="s">
        <v>76</v>
      </c>
      <c r="B20" s="2" t="s">
        <v>77</v>
      </c>
      <c r="C20" s="3">
        <v>46028</v>
      </c>
      <c r="D20" s="2" t="s">
        <v>45</v>
      </c>
      <c r="E20" s="2" t="s">
        <v>46</v>
      </c>
      <c r="F20" s="2" t="s">
        <v>39</v>
      </c>
      <c r="G20" s="2" t="s">
        <v>61</v>
      </c>
      <c r="H20" s="2">
        <v>42</v>
      </c>
      <c r="I20" s="4">
        <v>0.54166666666666663</v>
      </c>
      <c r="J20" s="2">
        <v>29</v>
      </c>
      <c r="K20" s="2">
        <v>45</v>
      </c>
      <c r="L20" s="2" t="s">
        <v>21</v>
      </c>
      <c r="M20" s="2">
        <v>4</v>
      </c>
      <c r="N20" s="2" t="s">
        <v>29</v>
      </c>
      <c r="O20" s="2">
        <v>330</v>
      </c>
    </row>
    <row r="21" spans="1:15" x14ac:dyDescent="0.25">
      <c r="A21" s="2" t="s">
        <v>78</v>
      </c>
      <c r="B21" s="2" t="s">
        <v>79</v>
      </c>
      <c r="C21" s="3">
        <v>46028</v>
      </c>
      <c r="D21" s="2" t="s">
        <v>17</v>
      </c>
      <c r="E21" s="2" t="s">
        <v>18</v>
      </c>
      <c r="F21" s="2" t="s">
        <v>27</v>
      </c>
      <c r="G21" s="2" t="s">
        <v>20</v>
      </c>
      <c r="H21" s="2">
        <v>56</v>
      </c>
      <c r="I21" s="4">
        <v>0.5625</v>
      </c>
      <c r="J21" s="2">
        <v>16</v>
      </c>
      <c r="K21" s="2">
        <v>30</v>
      </c>
      <c r="L21" s="2" t="s">
        <v>21</v>
      </c>
      <c r="M21" s="2">
        <v>5</v>
      </c>
      <c r="N21" s="2" t="s">
        <v>22</v>
      </c>
      <c r="O21" s="2">
        <v>175</v>
      </c>
    </row>
    <row r="22" spans="1:15" x14ac:dyDescent="0.25">
      <c r="A22" s="2" t="s">
        <v>80</v>
      </c>
      <c r="B22" s="2" t="s">
        <v>81</v>
      </c>
      <c r="C22" s="3">
        <v>46029</v>
      </c>
      <c r="D22" s="2" t="s">
        <v>37</v>
      </c>
      <c r="E22" s="2" t="s">
        <v>38</v>
      </c>
      <c r="F22" s="2" t="s">
        <v>27</v>
      </c>
      <c r="G22" s="2" t="s">
        <v>40</v>
      </c>
      <c r="H22" s="2">
        <v>44</v>
      </c>
      <c r="I22" s="4">
        <v>0.33333333333333331</v>
      </c>
      <c r="J22" s="2">
        <v>52</v>
      </c>
      <c r="K22" s="2">
        <v>45</v>
      </c>
      <c r="L22" s="2" t="s">
        <v>21</v>
      </c>
      <c r="M22" s="2">
        <v>3</v>
      </c>
      <c r="N22" s="2" t="s">
        <v>22</v>
      </c>
      <c r="O22" s="2">
        <v>305</v>
      </c>
    </row>
    <row r="23" spans="1:15" x14ac:dyDescent="0.25">
      <c r="A23" s="2" t="s">
        <v>82</v>
      </c>
      <c r="B23" s="2" t="s">
        <v>83</v>
      </c>
      <c r="C23" s="3">
        <v>46029</v>
      </c>
      <c r="D23" s="2" t="s">
        <v>17</v>
      </c>
      <c r="E23" s="2" t="s">
        <v>18</v>
      </c>
      <c r="F23" s="2" t="s">
        <v>34</v>
      </c>
      <c r="G23" s="2" t="s">
        <v>20</v>
      </c>
      <c r="H23" s="2">
        <v>23</v>
      </c>
      <c r="I23" s="4">
        <v>0.35416666666666669</v>
      </c>
      <c r="J23" s="2">
        <v>24</v>
      </c>
      <c r="K23" s="2">
        <v>30</v>
      </c>
      <c r="L23" s="2" t="s">
        <v>21</v>
      </c>
      <c r="M23" s="2">
        <v>4</v>
      </c>
      <c r="N23" s="2" t="s">
        <v>22</v>
      </c>
      <c r="O23" s="2">
        <v>165</v>
      </c>
    </row>
    <row r="24" spans="1:15" x14ac:dyDescent="0.25">
      <c r="A24" s="2" t="s">
        <v>84</v>
      </c>
      <c r="B24" s="2" t="s">
        <v>85</v>
      </c>
      <c r="C24" s="3">
        <v>46029</v>
      </c>
      <c r="D24" s="2" t="s">
        <v>25</v>
      </c>
      <c r="E24" s="2" t="s">
        <v>26</v>
      </c>
      <c r="F24" s="2" t="s">
        <v>19</v>
      </c>
      <c r="G24" s="2" t="s">
        <v>28</v>
      </c>
      <c r="H24" s="2">
        <v>69</v>
      </c>
      <c r="I24" s="4">
        <v>0.375</v>
      </c>
      <c r="J24" s="2">
        <v>45</v>
      </c>
      <c r="K24" s="2">
        <v>50</v>
      </c>
      <c r="L24" s="2" t="s">
        <v>21</v>
      </c>
      <c r="M24" s="2">
        <v>3</v>
      </c>
      <c r="N24" s="2" t="s">
        <v>22</v>
      </c>
      <c r="O24" s="2">
        <v>390</v>
      </c>
    </row>
    <row r="25" spans="1:15" x14ac:dyDescent="0.25">
      <c r="A25" s="2" t="s">
        <v>86</v>
      </c>
      <c r="B25" s="2" t="s">
        <v>87</v>
      </c>
      <c r="C25" s="3">
        <v>46029</v>
      </c>
      <c r="D25" s="2" t="s">
        <v>32</v>
      </c>
      <c r="E25" s="2" t="s">
        <v>33</v>
      </c>
      <c r="F25" s="2" t="s">
        <v>34</v>
      </c>
      <c r="G25" s="2" t="s">
        <v>40</v>
      </c>
      <c r="H25" s="2">
        <v>13</v>
      </c>
      <c r="I25" s="4">
        <v>0.39583333333333331</v>
      </c>
      <c r="J25" s="2">
        <v>17</v>
      </c>
      <c r="K25" s="2">
        <v>30</v>
      </c>
      <c r="L25" s="2" t="s">
        <v>21</v>
      </c>
      <c r="M25" s="2">
        <v>5</v>
      </c>
      <c r="N25" s="2" t="s">
        <v>22</v>
      </c>
      <c r="O25" s="2">
        <v>175</v>
      </c>
    </row>
    <row r="26" spans="1:15" x14ac:dyDescent="0.25">
      <c r="A26" s="2" t="s">
        <v>88</v>
      </c>
      <c r="B26" s="2" t="s">
        <v>89</v>
      </c>
      <c r="C26" s="3">
        <v>46029</v>
      </c>
      <c r="D26" s="2" t="s">
        <v>45</v>
      </c>
      <c r="E26" s="2" t="s">
        <v>46</v>
      </c>
      <c r="F26" s="2" t="s">
        <v>27</v>
      </c>
      <c r="G26" s="2" t="s">
        <v>40</v>
      </c>
      <c r="H26" s="2">
        <v>36</v>
      </c>
      <c r="I26" s="4">
        <v>0.41666666666666669</v>
      </c>
      <c r="J26" s="2">
        <v>34</v>
      </c>
      <c r="K26" s="2">
        <v>35</v>
      </c>
      <c r="L26" s="2" t="s">
        <v>21</v>
      </c>
      <c r="M26" s="2">
        <v>4</v>
      </c>
      <c r="N26" s="2" t="s">
        <v>22</v>
      </c>
      <c r="O26" s="2">
        <v>240</v>
      </c>
    </row>
    <row r="27" spans="1:15" x14ac:dyDescent="0.25">
      <c r="A27" s="2" t="s">
        <v>90</v>
      </c>
      <c r="B27" s="2" t="s">
        <v>91</v>
      </c>
      <c r="C27" s="3">
        <v>46029</v>
      </c>
      <c r="D27" s="2" t="s">
        <v>37</v>
      </c>
      <c r="E27" s="2" t="s">
        <v>38</v>
      </c>
      <c r="F27" s="2" t="s">
        <v>39</v>
      </c>
      <c r="G27" s="2" t="s">
        <v>20</v>
      </c>
      <c r="H27" s="2">
        <v>58</v>
      </c>
      <c r="I27" s="4">
        <v>0.4375</v>
      </c>
      <c r="J27" s="2">
        <v>68</v>
      </c>
      <c r="K27" s="2">
        <v>60</v>
      </c>
      <c r="L27" s="2" t="s">
        <v>21</v>
      </c>
      <c r="M27" s="2">
        <v>2</v>
      </c>
      <c r="N27" s="2" t="s">
        <v>29</v>
      </c>
      <c r="O27" s="2">
        <v>495</v>
      </c>
    </row>
    <row r="28" spans="1:15" x14ac:dyDescent="0.25">
      <c r="A28" s="2" t="s">
        <v>92</v>
      </c>
      <c r="B28" s="2" t="s">
        <v>93</v>
      </c>
      <c r="C28" s="3">
        <v>46029</v>
      </c>
      <c r="D28" s="2" t="s">
        <v>17</v>
      </c>
      <c r="E28" s="2" t="s">
        <v>18</v>
      </c>
      <c r="F28" s="2" t="s">
        <v>55</v>
      </c>
      <c r="G28" s="2" t="s">
        <v>28</v>
      </c>
      <c r="H28" s="2">
        <v>72</v>
      </c>
      <c r="I28" s="4">
        <v>0.45833333333333331</v>
      </c>
      <c r="J28" s="2">
        <v>29</v>
      </c>
      <c r="K28" s="2">
        <v>25</v>
      </c>
      <c r="L28" s="2" t="s">
        <v>21</v>
      </c>
      <c r="M28" s="2">
        <v>4</v>
      </c>
      <c r="N28" s="2" t="s">
        <v>22</v>
      </c>
      <c r="O28" s="2">
        <v>155</v>
      </c>
    </row>
    <row r="29" spans="1:15" x14ac:dyDescent="0.25">
      <c r="A29" s="2" t="s">
        <v>94</v>
      </c>
      <c r="B29" s="2" t="s">
        <v>95</v>
      </c>
      <c r="C29" s="3">
        <v>46029</v>
      </c>
      <c r="D29" s="2" t="s">
        <v>32</v>
      </c>
      <c r="E29" s="2" t="s">
        <v>33</v>
      </c>
      <c r="F29" s="2" t="s">
        <v>49</v>
      </c>
      <c r="G29" s="2" t="s">
        <v>20</v>
      </c>
      <c r="H29" s="2">
        <v>4</v>
      </c>
      <c r="I29" s="4">
        <v>0.47916666666666669</v>
      </c>
      <c r="J29" s="2">
        <v>8</v>
      </c>
      <c r="K29" s="2">
        <v>25</v>
      </c>
      <c r="L29" s="2" t="s">
        <v>21</v>
      </c>
      <c r="M29" s="2">
        <v>5</v>
      </c>
      <c r="N29" s="2" t="s">
        <v>22</v>
      </c>
      <c r="O29" s="2">
        <v>135</v>
      </c>
    </row>
    <row r="30" spans="1:15" x14ac:dyDescent="0.25">
      <c r="A30" s="2" t="s">
        <v>96</v>
      </c>
      <c r="B30" s="2" t="s">
        <v>97</v>
      </c>
      <c r="C30" s="3">
        <v>46029</v>
      </c>
      <c r="D30" s="2" t="s">
        <v>25</v>
      </c>
      <c r="E30" s="2" t="s">
        <v>26</v>
      </c>
      <c r="F30" s="2" t="s">
        <v>27</v>
      </c>
      <c r="G30" s="2" t="s">
        <v>40</v>
      </c>
      <c r="H30" s="2">
        <v>63</v>
      </c>
      <c r="I30" s="4">
        <v>0.54166666666666663</v>
      </c>
      <c r="J30" s="2">
        <v>51</v>
      </c>
      <c r="K30" s="2">
        <v>45</v>
      </c>
      <c r="L30" s="2" t="s">
        <v>21</v>
      </c>
      <c r="M30" s="2">
        <v>3</v>
      </c>
      <c r="N30" s="2" t="s">
        <v>29</v>
      </c>
      <c r="O30" s="2">
        <v>380</v>
      </c>
    </row>
    <row r="31" spans="1:15" x14ac:dyDescent="0.25">
      <c r="A31" s="2" t="s">
        <v>98</v>
      </c>
      <c r="B31" s="2" t="s">
        <v>99</v>
      </c>
      <c r="C31" s="3">
        <v>46029</v>
      </c>
      <c r="D31" s="2" t="s">
        <v>45</v>
      </c>
      <c r="E31" s="2" t="s">
        <v>46</v>
      </c>
      <c r="F31" s="2" t="s">
        <v>39</v>
      </c>
      <c r="G31" s="2" t="s">
        <v>40</v>
      </c>
      <c r="H31" s="2">
        <v>48</v>
      </c>
      <c r="I31" s="4">
        <v>0.5625</v>
      </c>
      <c r="J31" s="2">
        <v>39</v>
      </c>
      <c r="K31" s="2">
        <v>50</v>
      </c>
      <c r="L31" s="2" t="s">
        <v>58</v>
      </c>
      <c r="N31" s="2" t="s">
        <v>29</v>
      </c>
      <c r="O31" s="2">
        <v>350</v>
      </c>
    </row>
    <row r="32" spans="1:15" x14ac:dyDescent="0.25">
      <c r="A32" s="2" t="s">
        <v>100</v>
      </c>
      <c r="B32" s="2" t="s">
        <v>101</v>
      </c>
      <c r="C32" s="3">
        <v>46030</v>
      </c>
      <c r="D32" s="2" t="s">
        <v>17</v>
      </c>
      <c r="E32" s="2" t="s">
        <v>18</v>
      </c>
      <c r="F32" s="2" t="s">
        <v>19</v>
      </c>
      <c r="G32" s="2" t="s">
        <v>20</v>
      </c>
      <c r="H32" s="2">
        <v>31</v>
      </c>
      <c r="I32" s="4">
        <v>0.33333333333333331</v>
      </c>
      <c r="J32" s="2">
        <v>15</v>
      </c>
      <c r="K32" s="2">
        <v>35</v>
      </c>
      <c r="L32" s="2" t="s">
        <v>21</v>
      </c>
      <c r="M32" s="2">
        <v>5</v>
      </c>
      <c r="N32" s="2" t="s">
        <v>22</v>
      </c>
      <c r="O32" s="2">
        <v>180</v>
      </c>
    </row>
    <row r="33" spans="1:15" x14ac:dyDescent="0.25">
      <c r="A33" s="2" t="s">
        <v>102</v>
      </c>
      <c r="B33" s="2" t="s">
        <v>103</v>
      </c>
      <c r="C33" s="3">
        <v>46030</v>
      </c>
      <c r="D33" s="2" t="s">
        <v>25</v>
      </c>
      <c r="E33" s="2" t="s">
        <v>26</v>
      </c>
      <c r="F33" s="2" t="s">
        <v>39</v>
      </c>
      <c r="G33" s="2" t="s">
        <v>28</v>
      </c>
      <c r="H33" s="2">
        <v>76</v>
      </c>
      <c r="I33" s="4">
        <v>0.35416666666666669</v>
      </c>
      <c r="J33" s="2">
        <v>64</v>
      </c>
      <c r="K33" s="2">
        <v>65</v>
      </c>
      <c r="L33" s="2" t="s">
        <v>21</v>
      </c>
      <c r="M33" s="2">
        <v>2</v>
      </c>
      <c r="N33" s="2" t="s">
        <v>29</v>
      </c>
      <c r="O33" s="2">
        <v>565</v>
      </c>
    </row>
    <row r="34" spans="1:15" x14ac:dyDescent="0.25">
      <c r="A34" s="2" t="s">
        <v>104</v>
      </c>
      <c r="B34" s="2" t="s">
        <v>105</v>
      </c>
      <c r="C34" s="3">
        <v>46030</v>
      </c>
      <c r="D34" s="2" t="s">
        <v>32</v>
      </c>
      <c r="E34" s="2" t="s">
        <v>33</v>
      </c>
      <c r="F34" s="2" t="s">
        <v>34</v>
      </c>
      <c r="G34" s="2" t="s">
        <v>20</v>
      </c>
      <c r="H34" s="2">
        <v>9</v>
      </c>
      <c r="I34" s="4">
        <v>0.375</v>
      </c>
      <c r="J34" s="2">
        <v>13</v>
      </c>
      <c r="K34" s="2">
        <v>30</v>
      </c>
      <c r="L34" s="2" t="s">
        <v>21</v>
      </c>
      <c r="M34" s="2">
        <v>5</v>
      </c>
      <c r="N34" s="2" t="s">
        <v>22</v>
      </c>
      <c r="O34" s="2">
        <v>155</v>
      </c>
    </row>
    <row r="35" spans="1:15" x14ac:dyDescent="0.25">
      <c r="A35" s="2" t="s">
        <v>106</v>
      </c>
      <c r="B35" s="2" t="s">
        <v>107</v>
      </c>
      <c r="C35" s="3">
        <v>46030</v>
      </c>
      <c r="D35" s="2" t="s">
        <v>37</v>
      </c>
      <c r="E35" s="2" t="s">
        <v>38</v>
      </c>
      <c r="F35" s="2" t="s">
        <v>27</v>
      </c>
      <c r="G35" s="2" t="s">
        <v>40</v>
      </c>
      <c r="H35" s="2">
        <v>47</v>
      </c>
      <c r="I35" s="4">
        <v>0.39583333333333331</v>
      </c>
      <c r="J35" s="2">
        <v>43</v>
      </c>
      <c r="K35" s="2">
        <v>45</v>
      </c>
      <c r="L35" s="2" t="s">
        <v>21</v>
      </c>
      <c r="M35" s="2">
        <v>4</v>
      </c>
      <c r="N35" s="2" t="s">
        <v>22</v>
      </c>
      <c r="O35" s="2">
        <v>295</v>
      </c>
    </row>
    <row r="36" spans="1:15" x14ac:dyDescent="0.25">
      <c r="A36" s="2" t="s">
        <v>108</v>
      </c>
      <c r="B36" s="2" t="s">
        <v>109</v>
      </c>
      <c r="C36" s="3">
        <v>46030</v>
      </c>
      <c r="D36" s="2" t="s">
        <v>45</v>
      </c>
      <c r="E36" s="2" t="s">
        <v>46</v>
      </c>
      <c r="F36" s="2" t="s">
        <v>39</v>
      </c>
      <c r="G36" s="2" t="s">
        <v>40</v>
      </c>
      <c r="H36" s="2">
        <v>26</v>
      </c>
      <c r="I36" s="4">
        <v>0.41666666666666669</v>
      </c>
      <c r="J36" s="2">
        <v>37</v>
      </c>
      <c r="K36" s="2">
        <v>50</v>
      </c>
      <c r="L36" s="2" t="s">
        <v>21</v>
      </c>
      <c r="M36" s="2">
        <v>4</v>
      </c>
      <c r="N36" s="2" t="s">
        <v>29</v>
      </c>
      <c r="O36" s="2">
        <v>340</v>
      </c>
    </row>
    <row r="37" spans="1:15" x14ac:dyDescent="0.25">
      <c r="A37" s="2" t="s">
        <v>110</v>
      </c>
      <c r="B37" s="2" t="s">
        <v>111</v>
      </c>
      <c r="C37" s="3">
        <v>46030</v>
      </c>
      <c r="D37" s="2" t="s">
        <v>17</v>
      </c>
      <c r="E37" s="2" t="s">
        <v>18</v>
      </c>
      <c r="F37" s="2" t="s">
        <v>27</v>
      </c>
      <c r="G37" s="2" t="s">
        <v>28</v>
      </c>
      <c r="H37" s="2">
        <v>64</v>
      </c>
      <c r="I37" s="4">
        <v>0.4375</v>
      </c>
      <c r="J37" s="2">
        <v>22</v>
      </c>
      <c r="K37" s="2">
        <v>30</v>
      </c>
      <c r="L37" s="2" t="s">
        <v>21</v>
      </c>
      <c r="M37" s="2">
        <v>4</v>
      </c>
      <c r="N37" s="2" t="s">
        <v>22</v>
      </c>
      <c r="O37" s="2">
        <v>205</v>
      </c>
    </row>
    <row r="38" spans="1:15" x14ac:dyDescent="0.25">
      <c r="A38" s="2" t="s">
        <v>112</v>
      </c>
      <c r="B38" s="2" t="s">
        <v>113</v>
      </c>
      <c r="C38" s="3">
        <v>46030</v>
      </c>
      <c r="D38" s="2" t="s">
        <v>32</v>
      </c>
      <c r="E38" s="2" t="s">
        <v>33</v>
      </c>
      <c r="F38" s="2" t="s">
        <v>49</v>
      </c>
      <c r="G38" s="2" t="s">
        <v>20</v>
      </c>
      <c r="H38" s="2">
        <v>6</v>
      </c>
      <c r="I38" s="4">
        <v>0.45833333333333331</v>
      </c>
      <c r="J38" s="2">
        <v>10</v>
      </c>
      <c r="K38" s="2">
        <v>25</v>
      </c>
      <c r="L38" s="2" t="s">
        <v>21</v>
      </c>
      <c r="M38" s="2">
        <v>5</v>
      </c>
      <c r="N38" s="2" t="s">
        <v>22</v>
      </c>
      <c r="O38" s="2">
        <v>145</v>
      </c>
    </row>
    <row r="39" spans="1:15" x14ac:dyDescent="0.25">
      <c r="A39" s="2" t="s">
        <v>114</v>
      </c>
      <c r="B39" s="2" t="s">
        <v>115</v>
      </c>
      <c r="C39" s="3">
        <v>46030</v>
      </c>
      <c r="D39" s="2" t="s">
        <v>25</v>
      </c>
      <c r="E39" s="2" t="s">
        <v>26</v>
      </c>
      <c r="F39" s="2" t="s">
        <v>27</v>
      </c>
      <c r="G39" s="2" t="s">
        <v>28</v>
      </c>
      <c r="H39" s="2">
        <v>70</v>
      </c>
      <c r="I39" s="4">
        <v>0.47916666666666669</v>
      </c>
      <c r="J39" s="2">
        <v>57</v>
      </c>
      <c r="K39" s="2">
        <v>50</v>
      </c>
      <c r="L39" s="2" t="s">
        <v>21</v>
      </c>
      <c r="M39" s="2">
        <v>3</v>
      </c>
      <c r="N39" s="2" t="s">
        <v>29</v>
      </c>
      <c r="O39" s="2">
        <v>415</v>
      </c>
    </row>
    <row r="40" spans="1:15" x14ac:dyDescent="0.25">
      <c r="A40" s="2" t="s">
        <v>116</v>
      </c>
      <c r="B40" s="2" t="s">
        <v>117</v>
      </c>
      <c r="C40" s="3">
        <v>46030</v>
      </c>
      <c r="D40" s="2" t="s">
        <v>37</v>
      </c>
      <c r="E40" s="2" t="s">
        <v>38</v>
      </c>
      <c r="F40" s="2" t="s">
        <v>39</v>
      </c>
      <c r="G40" s="2" t="s">
        <v>61</v>
      </c>
      <c r="H40" s="2">
        <v>35</v>
      </c>
      <c r="I40" s="4">
        <v>0.54166666666666663</v>
      </c>
      <c r="J40" s="2">
        <v>46</v>
      </c>
      <c r="K40" s="2">
        <v>55</v>
      </c>
      <c r="L40" s="2" t="s">
        <v>21</v>
      </c>
      <c r="M40" s="2">
        <v>3</v>
      </c>
      <c r="N40" s="2" t="s">
        <v>29</v>
      </c>
      <c r="O40" s="2">
        <v>525</v>
      </c>
    </row>
    <row r="41" spans="1:15" x14ac:dyDescent="0.25">
      <c r="A41" s="2" t="s">
        <v>118</v>
      </c>
      <c r="B41" s="2" t="s">
        <v>119</v>
      </c>
      <c r="C41" s="3">
        <v>46030</v>
      </c>
      <c r="D41" s="2" t="s">
        <v>17</v>
      </c>
      <c r="E41" s="2" t="s">
        <v>18</v>
      </c>
      <c r="F41" s="2" t="s">
        <v>34</v>
      </c>
      <c r="G41" s="2" t="s">
        <v>20</v>
      </c>
      <c r="H41" s="2">
        <v>41</v>
      </c>
      <c r="I41" s="4">
        <v>0.5625</v>
      </c>
      <c r="J41" s="2">
        <v>20</v>
      </c>
      <c r="K41" s="2">
        <v>30</v>
      </c>
      <c r="L41" s="2" t="s">
        <v>21</v>
      </c>
      <c r="M41" s="2">
        <v>5</v>
      </c>
      <c r="N41" s="2" t="s">
        <v>22</v>
      </c>
      <c r="O41" s="2">
        <v>160</v>
      </c>
    </row>
    <row r="42" spans="1:15" x14ac:dyDescent="0.25">
      <c r="A42" s="2" t="s">
        <v>120</v>
      </c>
      <c r="B42" s="2" t="s">
        <v>121</v>
      </c>
      <c r="C42" s="3">
        <v>46031</v>
      </c>
      <c r="D42" s="2" t="s">
        <v>45</v>
      </c>
      <c r="E42" s="2" t="s">
        <v>46</v>
      </c>
      <c r="F42" s="2" t="s">
        <v>27</v>
      </c>
      <c r="G42" s="2" t="s">
        <v>40</v>
      </c>
      <c r="H42" s="2">
        <v>38</v>
      </c>
      <c r="I42" s="4">
        <v>0.33333333333333331</v>
      </c>
      <c r="J42" s="2">
        <v>32</v>
      </c>
      <c r="K42" s="2">
        <v>35</v>
      </c>
      <c r="L42" s="2" t="s">
        <v>21</v>
      </c>
      <c r="M42" s="2">
        <v>4</v>
      </c>
      <c r="N42" s="2" t="s">
        <v>22</v>
      </c>
      <c r="O42" s="2">
        <v>235</v>
      </c>
    </row>
    <row r="43" spans="1:15" x14ac:dyDescent="0.25">
      <c r="A43" s="2" t="s">
        <v>122</v>
      </c>
      <c r="B43" s="2" t="s">
        <v>123</v>
      </c>
      <c r="C43" s="3">
        <v>46031</v>
      </c>
      <c r="D43" s="2" t="s">
        <v>17</v>
      </c>
      <c r="E43" s="2" t="s">
        <v>18</v>
      </c>
      <c r="F43" s="2" t="s">
        <v>39</v>
      </c>
      <c r="G43" s="2" t="s">
        <v>40</v>
      </c>
      <c r="H43" s="2">
        <v>55</v>
      </c>
      <c r="I43" s="4">
        <v>0.35416666666666669</v>
      </c>
      <c r="J43" s="2">
        <v>41</v>
      </c>
      <c r="K43" s="2">
        <v>50</v>
      </c>
      <c r="L43" s="2" t="s">
        <v>21</v>
      </c>
      <c r="M43" s="2">
        <v>3</v>
      </c>
      <c r="N43" s="2" t="s">
        <v>29</v>
      </c>
      <c r="O43" s="2">
        <v>285</v>
      </c>
    </row>
    <row r="44" spans="1:15" x14ac:dyDescent="0.25">
      <c r="A44" s="2" t="s">
        <v>124</v>
      </c>
      <c r="B44" s="2" t="s">
        <v>125</v>
      </c>
      <c r="C44" s="3">
        <v>46031</v>
      </c>
      <c r="D44" s="2" t="s">
        <v>32</v>
      </c>
      <c r="E44" s="2" t="s">
        <v>33</v>
      </c>
      <c r="F44" s="2" t="s">
        <v>34</v>
      </c>
      <c r="G44" s="2" t="s">
        <v>20</v>
      </c>
      <c r="H44" s="2">
        <v>10</v>
      </c>
      <c r="I44" s="4">
        <v>0.375</v>
      </c>
      <c r="J44" s="2">
        <v>7</v>
      </c>
      <c r="K44" s="2">
        <v>25</v>
      </c>
      <c r="L44" s="2" t="s">
        <v>21</v>
      </c>
      <c r="M44" s="2">
        <v>5</v>
      </c>
      <c r="N44" s="2" t="s">
        <v>22</v>
      </c>
      <c r="O44" s="2">
        <v>150</v>
      </c>
    </row>
    <row r="45" spans="1:15" x14ac:dyDescent="0.25">
      <c r="A45" s="2" t="s">
        <v>126</v>
      </c>
      <c r="B45" s="2" t="s">
        <v>127</v>
      </c>
      <c r="C45" s="3">
        <v>46031</v>
      </c>
      <c r="D45" s="2" t="s">
        <v>25</v>
      </c>
      <c r="E45" s="2" t="s">
        <v>26</v>
      </c>
      <c r="F45" s="2" t="s">
        <v>27</v>
      </c>
      <c r="G45" s="2" t="s">
        <v>28</v>
      </c>
      <c r="H45" s="2">
        <v>81</v>
      </c>
      <c r="I45" s="4">
        <v>0.39583333333333331</v>
      </c>
      <c r="J45" s="2">
        <v>73</v>
      </c>
      <c r="K45" s="2">
        <v>55</v>
      </c>
      <c r="L45" s="2" t="s">
        <v>21</v>
      </c>
      <c r="M45" s="2">
        <v>2</v>
      </c>
      <c r="N45" s="2" t="s">
        <v>29</v>
      </c>
      <c r="O45" s="2">
        <v>430</v>
      </c>
    </row>
    <row r="46" spans="1:15" x14ac:dyDescent="0.25">
      <c r="A46" s="2" t="s">
        <v>128</v>
      </c>
      <c r="B46" s="2" t="s">
        <v>129</v>
      </c>
      <c r="C46" s="3">
        <v>46031</v>
      </c>
      <c r="D46" s="2" t="s">
        <v>37</v>
      </c>
      <c r="E46" s="2" t="s">
        <v>38</v>
      </c>
      <c r="F46" s="2" t="s">
        <v>27</v>
      </c>
      <c r="G46" s="2" t="s">
        <v>40</v>
      </c>
      <c r="H46" s="2">
        <v>49</v>
      </c>
      <c r="I46" s="4">
        <v>0.41666666666666669</v>
      </c>
      <c r="J46" s="2">
        <v>49</v>
      </c>
      <c r="K46" s="2">
        <v>45</v>
      </c>
      <c r="L46" s="2" t="s">
        <v>21</v>
      </c>
      <c r="M46" s="2">
        <v>3</v>
      </c>
      <c r="N46" s="2" t="s">
        <v>22</v>
      </c>
      <c r="O46" s="2">
        <v>310</v>
      </c>
    </row>
    <row r="47" spans="1:15" x14ac:dyDescent="0.25">
      <c r="A47" s="2" t="s">
        <v>130</v>
      </c>
      <c r="B47" s="2" t="s">
        <v>131</v>
      </c>
      <c r="C47" s="3">
        <v>46031</v>
      </c>
      <c r="D47" s="2" t="s">
        <v>17</v>
      </c>
      <c r="E47" s="2" t="s">
        <v>18</v>
      </c>
      <c r="F47" s="2" t="s">
        <v>19</v>
      </c>
      <c r="G47" s="2" t="s">
        <v>20</v>
      </c>
      <c r="H47" s="2">
        <v>37</v>
      </c>
      <c r="I47" s="4">
        <v>0.4375</v>
      </c>
      <c r="J47" s="2">
        <v>17</v>
      </c>
      <c r="K47" s="2">
        <v>35</v>
      </c>
      <c r="L47" s="2" t="s">
        <v>21</v>
      </c>
      <c r="M47" s="2">
        <v>5</v>
      </c>
      <c r="N47" s="2" t="s">
        <v>22</v>
      </c>
      <c r="O47" s="2">
        <v>180</v>
      </c>
    </row>
    <row r="48" spans="1:15" x14ac:dyDescent="0.25">
      <c r="A48" s="2" t="s">
        <v>132</v>
      </c>
      <c r="B48" s="2" t="s">
        <v>133</v>
      </c>
      <c r="C48" s="3">
        <v>46031</v>
      </c>
      <c r="D48" s="2" t="s">
        <v>45</v>
      </c>
      <c r="E48" s="2" t="s">
        <v>46</v>
      </c>
      <c r="F48" s="2" t="s">
        <v>39</v>
      </c>
      <c r="G48" s="2" t="s">
        <v>61</v>
      </c>
      <c r="H48" s="2">
        <v>30</v>
      </c>
      <c r="I48" s="4">
        <v>0.45833333333333331</v>
      </c>
      <c r="J48" s="2">
        <v>36</v>
      </c>
      <c r="K48" s="2">
        <v>45</v>
      </c>
      <c r="L48" s="2" t="s">
        <v>52</v>
      </c>
      <c r="N48" s="2" t="s">
        <v>29</v>
      </c>
      <c r="O48" s="2">
        <v>320</v>
      </c>
    </row>
    <row r="49" spans="1:15" x14ac:dyDescent="0.25">
      <c r="A49" s="2" t="s">
        <v>134</v>
      </c>
      <c r="B49" s="2" t="s">
        <v>135</v>
      </c>
      <c r="C49" s="3">
        <v>46031</v>
      </c>
      <c r="D49" s="2" t="s">
        <v>32</v>
      </c>
      <c r="E49" s="2" t="s">
        <v>33</v>
      </c>
      <c r="F49" s="2" t="s">
        <v>49</v>
      </c>
      <c r="G49" s="2" t="s">
        <v>40</v>
      </c>
      <c r="H49" s="2">
        <v>6</v>
      </c>
      <c r="I49" s="4">
        <v>0.47916666666666669</v>
      </c>
      <c r="J49" s="2">
        <v>12</v>
      </c>
      <c r="K49" s="2">
        <v>25</v>
      </c>
      <c r="L49" s="2" t="s">
        <v>21</v>
      </c>
      <c r="M49" s="2">
        <v>5</v>
      </c>
      <c r="N49" s="2" t="s">
        <v>22</v>
      </c>
      <c r="O49" s="2">
        <v>165</v>
      </c>
    </row>
    <row r="50" spans="1:15" x14ac:dyDescent="0.25">
      <c r="A50" s="2" t="s">
        <v>136</v>
      </c>
      <c r="B50" s="2" t="s">
        <v>137</v>
      </c>
      <c r="C50" s="3">
        <v>46031</v>
      </c>
      <c r="D50" s="2" t="s">
        <v>25</v>
      </c>
      <c r="E50" s="2" t="s">
        <v>26</v>
      </c>
      <c r="F50" s="2" t="s">
        <v>39</v>
      </c>
      <c r="G50" s="2" t="s">
        <v>40</v>
      </c>
      <c r="H50" s="2">
        <v>62</v>
      </c>
      <c r="I50" s="4">
        <v>0.54166666666666663</v>
      </c>
      <c r="J50" s="2">
        <v>54</v>
      </c>
      <c r="K50" s="2">
        <v>60</v>
      </c>
      <c r="L50" s="2" t="s">
        <v>21</v>
      </c>
      <c r="M50" s="2">
        <v>3</v>
      </c>
      <c r="N50" s="2" t="s">
        <v>29</v>
      </c>
      <c r="O50" s="2">
        <v>540</v>
      </c>
    </row>
    <row r="51" spans="1:15" x14ac:dyDescent="0.25">
      <c r="A51" s="2" t="s">
        <v>138</v>
      </c>
      <c r="B51" s="2" t="s">
        <v>139</v>
      </c>
      <c r="C51" s="3">
        <v>46031</v>
      </c>
      <c r="D51" s="2" t="s">
        <v>17</v>
      </c>
      <c r="E51" s="2" t="s">
        <v>18</v>
      </c>
      <c r="F51" s="2" t="s">
        <v>55</v>
      </c>
      <c r="G51" s="2" t="s">
        <v>28</v>
      </c>
      <c r="H51" s="2">
        <v>68</v>
      </c>
      <c r="I51" s="4">
        <v>0.5625</v>
      </c>
      <c r="J51" s="2">
        <v>25</v>
      </c>
      <c r="K51" s="2">
        <v>25</v>
      </c>
      <c r="L51" s="2" t="s">
        <v>21</v>
      </c>
      <c r="M51" s="2">
        <v>4</v>
      </c>
      <c r="N51" s="2" t="s">
        <v>22</v>
      </c>
      <c r="O51" s="2">
        <v>150</v>
      </c>
    </row>
    <row r="52" spans="1:15" x14ac:dyDescent="0.25">
      <c r="A52" s="2" t="s">
        <v>140</v>
      </c>
      <c r="B52" s="2" t="s">
        <v>141</v>
      </c>
      <c r="C52" s="3">
        <v>46034</v>
      </c>
      <c r="D52" s="2" t="s">
        <v>37</v>
      </c>
      <c r="E52" s="2" t="s">
        <v>38</v>
      </c>
      <c r="F52" s="2" t="s">
        <v>39</v>
      </c>
      <c r="G52" s="2" t="s">
        <v>20</v>
      </c>
      <c r="H52" s="2">
        <v>61</v>
      </c>
      <c r="I52" s="4">
        <v>0.33333333333333331</v>
      </c>
      <c r="J52" s="2">
        <v>78</v>
      </c>
      <c r="K52" s="2">
        <v>65</v>
      </c>
      <c r="L52" s="2" t="s">
        <v>21</v>
      </c>
      <c r="M52" s="2">
        <v>2</v>
      </c>
      <c r="N52" s="2" t="s">
        <v>29</v>
      </c>
      <c r="O52" s="2">
        <v>590</v>
      </c>
    </row>
    <row r="53" spans="1:15" x14ac:dyDescent="0.25">
      <c r="A53" s="2" t="s">
        <v>142</v>
      </c>
      <c r="B53" s="2" t="s">
        <v>143</v>
      </c>
      <c r="C53" s="3">
        <v>46034</v>
      </c>
      <c r="D53" s="2" t="s">
        <v>17</v>
      </c>
      <c r="E53" s="2" t="s">
        <v>18</v>
      </c>
      <c r="F53" s="2" t="s">
        <v>27</v>
      </c>
      <c r="G53" s="2" t="s">
        <v>40</v>
      </c>
      <c r="H53" s="2">
        <v>43</v>
      </c>
      <c r="I53" s="4">
        <v>0.35416666666666669</v>
      </c>
      <c r="J53" s="2">
        <v>23</v>
      </c>
      <c r="K53" s="2">
        <v>30</v>
      </c>
      <c r="L53" s="2" t="s">
        <v>21</v>
      </c>
      <c r="M53" s="2">
        <v>4</v>
      </c>
      <c r="N53" s="2" t="s">
        <v>22</v>
      </c>
      <c r="O53" s="2">
        <v>195</v>
      </c>
    </row>
    <row r="54" spans="1:15" x14ac:dyDescent="0.25">
      <c r="A54" s="2" t="s">
        <v>144</v>
      </c>
      <c r="B54" s="2" t="s">
        <v>145</v>
      </c>
      <c r="C54" s="3">
        <v>46034</v>
      </c>
      <c r="D54" s="2" t="s">
        <v>32</v>
      </c>
      <c r="E54" s="2" t="s">
        <v>33</v>
      </c>
      <c r="F54" s="2" t="s">
        <v>34</v>
      </c>
      <c r="G54" s="2" t="s">
        <v>20</v>
      </c>
      <c r="H54" s="2">
        <v>12</v>
      </c>
      <c r="I54" s="4">
        <v>0.375</v>
      </c>
      <c r="J54" s="2">
        <v>16</v>
      </c>
      <c r="K54" s="2">
        <v>30</v>
      </c>
      <c r="L54" s="2" t="s">
        <v>21</v>
      </c>
      <c r="M54" s="2">
        <v>5</v>
      </c>
      <c r="N54" s="2" t="s">
        <v>22</v>
      </c>
      <c r="O54" s="2">
        <v>160</v>
      </c>
    </row>
    <row r="55" spans="1:15" x14ac:dyDescent="0.25">
      <c r="A55" s="2" t="s">
        <v>146</v>
      </c>
      <c r="B55" s="2" t="s">
        <v>147</v>
      </c>
      <c r="C55" s="3">
        <v>46034</v>
      </c>
      <c r="D55" s="2" t="s">
        <v>25</v>
      </c>
      <c r="E55" s="2" t="s">
        <v>26</v>
      </c>
      <c r="F55" s="2" t="s">
        <v>27</v>
      </c>
      <c r="G55" s="2" t="s">
        <v>28</v>
      </c>
      <c r="H55" s="2">
        <v>73</v>
      </c>
      <c r="I55" s="4">
        <v>0.39583333333333331</v>
      </c>
      <c r="J55" s="2">
        <v>62</v>
      </c>
      <c r="K55" s="2">
        <v>50</v>
      </c>
      <c r="L55" s="2" t="s">
        <v>21</v>
      </c>
      <c r="M55" s="2">
        <v>2</v>
      </c>
      <c r="N55" s="2" t="s">
        <v>29</v>
      </c>
      <c r="O55" s="2">
        <v>405</v>
      </c>
    </row>
    <row r="56" spans="1:15" x14ac:dyDescent="0.25">
      <c r="A56" s="2" t="s">
        <v>148</v>
      </c>
      <c r="B56" s="2" t="s">
        <v>149</v>
      </c>
      <c r="C56" s="3">
        <v>46034</v>
      </c>
      <c r="D56" s="2" t="s">
        <v>45</v>
      </c>
      <c r="E56" s="2" t="s">
        <v>46</v>
      </c>
      <c r="F56" s="2" t="s">
        <v>27</v>
      </c>
      <c r="G56" s="2" t="s">
        <v>40</v>
      </c>
      <c r="H56" s="2">
        <v>35</v>
      </c>
      <c r="I56" s="4">
        <v>0.41666666666666669</v>
      </c>
      <c r="J56" s="2">
        <v>28</v>
      </c>
      <c r="K56" s="2">
        <v>35</v>
      </c>
      <c r="L56" s="2" t="s">
        <v>21</v>
      </c>
      <c r="M56" s="2">
        <v>4</v>
      </c>
      <c r="N56" s="2" t="s">
        <v>22</v>
      </c>
      <c r="O56" s="2">
        <v>240</v>
      </c>
    </row>
    <row r="57" spans="1:15" x14ac:dyDescent="0.25">
      <c r="A57" s="2" t="s">
        <v>150</v>
      </c>
      <c r="B57" s="2" t="s">
        <v>151</v>
      </c>
      <c r="C57" s="3">
        <v>46034</v>
      </c>
      <c r="D57" s="2" t="s">
        <v>17</v>
      </c>
      <c r="E57" s="2" t="s">
        <v>18</v>
      </c>
      <c r="F57" s="2" t="s">
        <v>19</v>
      </c>
      <c r="G57" s="2" t="s">
        <v>20</v>
      </c>
      <c r="H57" s="2">
        <v>29</v>
      </c>
      <c r="I57" s="4">
        <v>0.4375</v>
      </c>
      <c r="J57" s="2">
        <v>14</v>
      </c>
      <c r="K57" s="2">
        <v>35</v>
      </c>
      <c r="L57" s="2" t="s">
        <v>21</v>
      </c>
      <c r="M57" s="2">
        <v>5</v>
      </c>
      <c r="N57" s="2" t="s">
        <v>22</v>
      </c>
      <c r="O57" s="2">
        <v>175</v>
      </c>
    </row>
    <row r="58" spans="1:15" x14ac:dyDescent="0.25">
      <c r="A58" s="2" t="s">
        <v>152</v>
      </c>
      <c r="B58" s="2" t="s">
        <v>153</v>
      </c>
      <c r="C58" s="3">
        <v>46034</v>
      </c>
      <c r="D58" s="2" t="s">
        <v>32</v>
      </c>
      <c r="E58" s="2" t="s">
        <v>33</v>
      </c>
      <c r="F58" s="2" t="s">
        <v>49</v>
      </c>
      <c r="G58" s="2" t="s">
        <v>20</v>
      </c>
      <c r="H58" s="2">
        <v>3</v>
      </c>
      <c r="I58" s="4">
        <v>0.45833333333333331</v>
      </c>
      <c r="J58" s="2">
        <v>6</v>
      </c>
      <c r="K58" s="2">
        <v>25</v>
      </c>
      <c r="L58" s="2" t="s">
        <v>21</v>
      </c>
      <c r="M58" s="2">
        <v>5</v>
      </c>
      <c r="N58" s="2" t="s">
        <v>22</v>
      </c>
      <c r="O58" s="2">
        <v>135</v>
      </c>
    </row>
    <row r="59" spans="1:15" x14ac:dyDescent="0.25">
      <c r="A59" s="2" t="s">
        <v>154</v>
      </c>
      <c r="B59" s="2" t="s">
        <v>155</v>
      </c>
      <c r="C59" s="3">
        <v>46034</v>
      </c>
      <c r="D59" s="2" t="s">
        <v>37</v>
      </c>
      <c r="E59" s="2" t="s">
        <v>38</v>
      </c>
      <c r="F59" s="2" t="s">
        <v>27</v>
      </c>
      <c r="G59" s="2" t="s">
        <v>40</v>
      </c>
      <c r="H59" s="2">
        <v>54</v>
      </c>
      <c r="I59" s="4">
        <v>0.47916666666666669</v>
      </c>
      <c r="J59" s="2">
        <v>44</v>
      </c>
      <c r="K59" s="2">
        <v>45</v>
      </c>
      <c r="L59" s="2" t="s">
        <v>21</v>
      </c>
      <c r="M59" s="2">
        <v>3</v>
      </c>
      <c r="N59" s="2" t="s">
        <v>22</v>
      </c>
      <c r="O59" s="2">
        <v>300</v>
      </c>
    </row>
    <row r="60" spans="1:15" x14ac:dyDescent="0.25">
      <c r="A60" s="2" t="s">
        <v>156</v>
      </c>
      <c r="B60" s="2" t="s">
        <v>157</v>
      </c>
      <c r="C60" s="3">
        <v>46034</v>
      </c>
      <c r="D60" s="2" t="s">
        <v>25</v>
      </c>
      <c r="E60" s="2" t="s">
        <v>26</v>
      </c>
      <c r="F60" s="2" t="s">
        <v>39</v>
      </c>
      <c r="G60" s="2" t="s">
        <v>28</v>
      </c>
      <c r="H60" s="2">
        <v>77</v>
      </c>
      <c r="I60" s="4">
        <v>0.54166666666666663</v>
      </c>
      <c r="J60" s="2">
        <v>69</v>
      </c>
      <c r="K60" s="2">
        <v>65</v>
      </c>
      <c r="L60" s="2" t="s">
        <v>21</v>
      </c>
      <c r="M60" s="2">
        <v>2</v>
      </c>
      <c r="N60" s="2" t="s">
        <v>29</v>
      </c>
      <c r="O60" s="2">
        <v>575</v>
      </c>
    </row>
    <row r="61" spans="1:15" x14ac:dyDescent="0.25">
      <c r="A61" s="2" t="s">
        <v>158</v>
      </c>
      <c r="B61" s="2" t="s">
        <v>159</v>
      </c>
      <c r="C61" s="3">
        <v>46034</v>
      </c>
      <c r="D61" s="2" t="s">
        <v>45</v>
      </c>
      <c r="E61" s="2" t="s">
        <v>46</v>
      </c>
      <c r="F61" s="2" t="s">
        <v>39</v>
      </c>
      <c r="G61" s="2" t="s">
        <v>40</v>
      </c>
      <c r="H61" s="2">
        <v>46</v>
      </c>
      <c r="I61" s="4">
        <v>0.5625</v>
      </c>
      <c r="J61" s="2">
        <v>38</v>
      </c>
      <c r="K61" s="2">
        <v>50</v>
      </c>
      <c r="L61" s="2" t="s">
        <v>21</v>
      </c>
      <c r="M61" s="2">
        <v>4</v>
      </c>
      <c r="N61" s="2" t="s">
        <v>29</v>
      </c>
      <c r="O61" s="2">
        <v>350</v>
      </c>
    </row>
    <row r="62" spans="1:15" x14ac:dyDescent="0.25">
      <c r="A62" s="2" t="s">
        <v>160</v>
      </c>
      <c r="B62" s="2" t="s">
        <v>161</v>
      </c>
      <c r="C62" s="3">
        <v>46035</v>
      </c>
      <c r="D62" s="2" t="s">
        <v>17</v>
      </c>
      <c r="E62" s="2" t="s">
        <v>18</v>
      </c>
      <c r="F62" s="2" t="s">
        <v>34</v>
      </c>
      <c r="G62" s="2" t="s">
        <v>20</v>
      </c>
      <c r="H62" s="2">
        <v>22</v>
      </c>
      <c r="I62" s="4">
        <v>0.33333333333333331</v>
      </c>
      <c r="J62" s="2">
        <v>19</v>
      </c>
      <c r="K62" s="2">
        <v>30</v>
      </c>
      <c r="L62" s="2" t="s">
        <v>21</v>
      </c>
      <c r="M62" s="2">
        <v>4</v>
      </c>
      <c r="N62" s="2" t="s">
        <v>22</v>
      </c>
      <c r="O62" s="2">
        <v>160</v>
      </c>
    </row>
    <row r="63" spans="1:15" x14ac:dyDescent="0.25">
      <c r="A63" s="2" t="s">
        <v>162</v>
      </c>
      <c r="B63" s="2" t="s">
        <v>163</v>
      </c>
      <c r="C63" s="3">
        <v>46035</v>
      </c>
      <c r="D63" s="2" t="s">
        <v>25</v>
      </c>
      <c r="E63" s="2" t="s">
        <v>26</v>
      </c>
      <c r="F63" s="2" t="s">
        <v>19</v>
      </c>
      <c r="G63" s="2" t="s">
        <v>28</v>
      </c>
      <c r="H63" s="2">
        <v>66</v>
      </c>
      <c r="I63" s="4">
        <v>0.35416666666666669</v>
      </c>
      <c r="J63" s="2">
        <v>48</v>
      </c>
      <c r="K63" s="2">
        <v>50</v>
      </c>
      <c r="L63" s="2" t="s">
        <v>21</v>
      </c>
      <c r="M63" s="2">
        <v>3</v>
      </c>
      <c r="N63" s="2" t="s">
        <v>22</v>
      </c>
      <c r="O63" s="2">
        <v>395</v>
      </c>
    </row>
    <row r="64" spans="1:15" x14ac:dyDescent="0.25">
      <c r="A64" s="2" t="s">
        <v>164</v>
      </c>
      <c r="B64" s="2" t="s">
        <v>165</v>
      </c>
      <c r="C64" s="3">
        <v>46035</v>
      </c>
      <c r="D64" s="2" t="s">
        <v>32</v>
      </c>
      <c r="E64" s="2" t="s">
        <v>33</v>
      </c>
      <c r="F64" s="2" t="s">
        <v>49</v>
      </c>
      <c r="G64" s="2" t="s">
        <v>40</v>
      </c>
      <c r="H64" s="2">
        <v>7</v>
      </c>
      <c r="I64" s="4">
        <v>0.375</v>
      </c>
      <c r="J64" s="2">
        <v>10</v>
      </c>
      <c r="K64" s="2">
        <v>25</v>
      </c>
      <c r="L64" s="2" t="s">
        <v>21</v>
      </c>
      <c r="M64" s="2">
        <v>5</v>
      </c>
      <c r="N64" s="2" t="s">
        <v>22</v>
      </c>
      <c r="O64" s="2">
        <v>150</v>
      </c>
    </row>
    <row r="65" spans="1:15" x14ac:dyDescent="0.25">
      <c r="A65" s="2" t="s">
        <v>166</v>
      </c>
      <c r="B65" s="2" t="s">
        <v>167</v>
      </c>
      <c r="C65" s="3">
        <v>46035</v>
      </c>
      <c r="D65" s="2" t="s">
        <v>37</v>
      </c>
      <c r="E65" s="2" t="s">
        <v>38</v>
      </c>
      <c r="F65" s="2" t="s">
        <v>27</v>
      </c>
      <c r="G65" s="2" t="s">
        <v>20</v>
      </c>
      <c r="H65" s="2">
        <v>42</v>
      </c>
      <c r="I65" s="4">
        <v>0.39583333333333331</v>
      </c>
      <c r="J65" s="2">
        <v>58</v>
      </c>
      <c r="K65" s="2">
        <v>45</v>
      </c>
      <c r="L65" s="2" t="s">
        <v>21</v>
      </c>
      <c r="M65" s="2">
        <v>3</v>
      </c>
      <c r="N65" s="2" t="s">
        <v>22</v>
      </c>
      <c r="O65" s="2">
        <v>285</v>
      </c>
    </row>
    <row r="66" spans="1:15" x14ac:dyDescent="0.25">
      <c r="A66" s="2" t="s">
        <v>168</v>
      </c>
      <c r="B66" s="2" t="s">
        <v>169</v>
      </c>
      <c r="C66" s="3">
        <v>46035</v>
      </c>
      <c r="D66" s="2" t="s">
        <v>45</v>
      </c>
      <c r="E66" s="2" t="s">
        <v>46</v>
      </c>
      <c r="F66" s="2" t="s">
        <v>39</v>
      </c>
      <c r="G66" s="2" t="s">
        <v>40</v>
      </c>
      <c r="H66" s="2">
        <v>31</v>
      </c>
      <c r="I66" s="4">
        <v>0.41666666666666669</v>
      </c>
      <c r="J66" s="2">
        <v>33</v>
      </c>
      <c r="K66" s="2">
        <v>50</v>
      </c>
      <c r="L66" s="2" t="s">
        <v>21</v>
      </c>
      <c r="M66" s="2">
        <v>4</v>
      </c>
      <c r="N66" s="2" t="s">
        <v>29</v>
      </c>
      <c r="O66" s="2">
        <v>335</v>
      </c>
    </row>
    <row r="67" spans="1:15" x14ac:dyDescent="0.25">
      <c r="A67" s="2" t="s">
        <v>170</v>
      </c>
      <c r="B67" s="2" t="s">
        <v>171</v>
      </c>
      <c r="C67" s="3">
        <v>46035</v>
      </c>
      <c r="D67" s="2" t="s">
        <v>17</v>
      </c>
      <c r="E67" s="2" t="s">
        <v>18</v>
      </c>
      <c r="F67" s="2" t="s">
        <v>55</v>
      </c>
      <c r="G67" s="2" t="s">
        <v>28</v>
      </c>
      <c r="H67" s="2">
        <v>75</v>
      </c>
      <c r="I67" s="4">
        <v>0.4375</v>
      </c>
      <c r="J67" s="2">
        <v>26</v>
      </c>
      <c r="K67" s="2">
        <v>25</v>
      </c>
      <c r="L67" s="2" t="s">
        <v>21</v>
      </c>
      <c r="M67" s="2">
        <v>4</v>
      </c>
      <c r="N67" s="2" t="s">
        <v>22</v>
      </c>
      <c r="O67" s="2">
        <v>145</v>
      </c>
    </row>
    <row r="68" spans="1:15" x14ac:dyDescent="0.25">
      <c r="A68" s="2" t="s">
        <v>172</v>
      </c>
      <c r="B68" s="2" t="s">
        <v>173</v>
      </c>
      <c r="C68" s="3">
        <v>46035</v>
      </c>
      <c r="D68" s="2" t="s">
        <v>32</v>
      </c>
      <c r="E68" s="2" t="s">
        <v>33</v>
      </c>
      <c r="F68" s="2" t="s">
        <v>34</v>
      </c>
      <c r="G68" s="2" t="s">
        <v>20</v>
      </c>
      <c r="H68" s="2">
        <v>14</v>
      </c>
      <c r="I68" s="4">
        <v>0.45833333333333331</v>
      </c>
      <c r="J68" s="2">
        <v>18</v>
      </c>
      <c r="K68" s="2">
        <v>30</v>
      </c>
      <c r="L68" s="2" t="s">
        <v>21</v>
      </c>
      <c r="M68" s="2">
        <v>5</v>
      </c>
      <c r="N68" s="2" t="s">
        <v>22</v>
      </c>
      <c r="O68" s="2">
        <v>165</v>
      </c>
    </row>
    <row r="69" spans="1:15" x14ac:dyDescent="0.25">
      <c r="A69" s="2" t="s">
        <v>174</v>
      </c>
      <c r="B69" s="2" t="s">
        <v>175</v>
      </c>
      <c r="C69" s="3">
        <v>46035</v>
      </c>
      <c r="D69" s="2" t="s">
        <v>25</v>
      </c>
      <c r="E69" s="2" t="s">
        <v>26</v>
      </c>
      <c r="F69" s="2" t="s">
        <v>27</v>
      </c>
      <c r="G69" s="2" t="s">
        <v>40</v>
      </c>
      <c r="H69" s="2">
        <v>57</v>
      </c>
      <c r="I69" s="4">
        <v>0.47916666666666669</v>
      </c>
      <c r="J69" s="2">
        <v>52</v>
      </c>
      <c r="K69" s="2">
        <v>45</v>
      </c>
      <c r="L69" s="2" t="s">
        <v>21</v>
      </c>
      <c r="M69" s="2">
        <v>3</v>
      </c>
      <c r="N69" s="2" t="s">
        <v>29</v>
      </c>
      <c r="O69" s="2">
        <v>375</v>
      </c>
    </row>
    <row r="70" spans="1:15" x14ac:dyDescent="0.25">
      <c r="A70" s="2" t="s">
        <v>176</v>
      </c>
      <c r="B70" s="2" t="s">
        <v>177</v>
      </c>
      <c r="C70" s="3">
        <v>46035</v>
      </c>
      <c r="D70" s="2" t="s">
        <v>37</v>
      </c>
      <c r="E70" s="2" t="s">
        <v>38</v>
      </c>
      <c r="F70" s="2" t="s">
        <v>39</v>
      </c>
      <c r="G70" s="2" t="s">
        <v>28</v>
      </c>
      <c r="H70" s="2">
        <v>69</v>
      </c>
      <c r="I70" s="4">
        <v>0.54166666666666663</v>
      </c>
      <c r="J70" s="2">
        <v>71</v>
      </c>
      <c r="K70" s="2">
        <v>60</v>
      </c>
      <c r="L70" s="2" t="s">
        <v>21</v>
      </c>
      <c r="M70" s="2">
        <v>2</v>
      </c>
      <c r="N70" s="2" t="s">
        <v>29</v>
      </c>
      <c r="O70" s="2">
        <v>605</v>
      </c>
    </row>
    <row r="71" spans="1:15" x14ac:dyDescent="0.25">
      <c r="A71" s="2" t="s">
        <v>178</v>
      </c>
      <c r="B71" s="2" t="s">
        <v>179</v>
      </c>
      <c r="C71" s="3">
        <v>46035</v>
      </c>
      <c r="D71" s="2" t="s">
        <v>17</v>
      </c>
      <c r="E71" s="2" t="s">
        <v>18</v>
      </c>
      <c r="F71" s="2" t="s">
        <v>27</v>
      </c>
      <c r="G71" s="2" t="s">
        <v>40</v>
      </c>
      <c r="H71" s="2">
        <v>40</v>
      </c>
      <c r="I71" s="4">
        <v>0.5625</v>
      </c>
      <c r="J71" s="2">
        <v>22</v>
      </c>
      <c r="K71" s="2">
        <v>30</v>
      </c>
      <c r="L71" s="2" t="s">
        <v>58</v>
      </c>
      <c r="N71" s="2" t="s">
        <v>22</v>
      </c>
      <c r="O71" s="2">
        <v>195</v>
      </c>
    </row>
    <row r="72" spans="1:15" x14ac:dyDescent="0.25">
      <c r="A72" s="2" t="s">
        <v>180</v>
      </c>
      <c r="B72" s="2" t="s">
        <v>181</v>
      </c>
      <c r="C72" s="3">
        <v>46036</v>
      </c>
      <c r="D72" s="2" t="s">
        <v>45</v>
      </c>
      <c r="E72" s="2" t="s">
        <v>46</v>
      </c>
      <c r="F72" s="2" t="s">
        <v>27</v>
      </c>
      <c r="G72" s="2" t="s">
        <v>40</v>
      </c>
      <c r="H72" s="2">
        <v>44</v>
      </c>
      <c r="I72" s="4">
        <v>0.33333333333333331</v>
      </c>
      <c r="J72" s="2">
        <v>31</v>
      </c>
      <c r="K72" s="2">
        <v>35</v>
      </c>
      <c r="L72" s="2" t="s">
        <v>21</v>
      </c>
      <c r="M72" s="2">
        <v>4</v>
      </c>
      <c r="N72" s="2" t="s">
        <v>22</v>
      </c>
      <c r="O72" s="2">
        <v>245</v>
      </c>
    </row>
    <row r="73" spans="1:15" x14ac:dyDescent="0.25">
      <c r="A73" s="2" t="s">
        <v>182</v>
      </c>
      <c r="B73" s="2" t="s">
        <v>183</v>
      </c>
      <c r="C73" s="3">
        <v>46036</v>
      </c>
      <c r="D73" s="2" t="s">
        <v>17</v>
      </c>
      <c r="E73" s="2" t="s">
        <v>18</v>
      </c>
      <c r="F73" s="2" t="s">
        <v>39</v>
      </c>
      <c r="G73" s="2" t="s">
        <v>20</v>
      </c>
      <c r="H73" s="2">
        <v>58</v>
      </c>
      <c r="I73" s="4">
        <v>0.35416666666666669</v>
      </c>
      <c r="J73" s="2">
        <v>36</v>
      </c>
      <c r="K73" s="2">
        <v>50</v>
      </c>
      <c r="L73" s="2" t="s">
        <v>21</v>
      </c>
      <c r="M73" s="2">
        <v>4</v>
      </c>
      <c r="N73" s="2" t="s">
        <v>29</v>
      </c>
      <c r="O73" s="2">
        <v>280</v>
      </c>
    </row>
    <row r="74" spans="1:15" x14ac:dyDescent="0.25">
      <c r="A74" s="2" t="s">
        <v>184</v>
      </c>
      <c r="B74" s="2" t="s">
        <v>185</v>
      </c>
      <c r="C74" s="3">
        <v>46036</v>
      </c>
      <c r="D74" s="2" t="s">
        <v>32</v>
      </c>
      <c r="E74" s="2" t="s">
        <v>33</v>
      </c>
      <c r="F74" s="2" t="s">
        <v>34</v>
      </c>
      <c r="G74" s="2" t="s">
        <v>20</v>
      </c>
      <c r="H74" s="2">
        <v>9</v>
      </c>
      <c r="I74" s="4">
        <v>0.375</v>
      </c>
      <c r="J74" s="2">
        <v>11</v>
      </c>
      <c r="K74" s="2">
        <v>30</v>
      </c>
      <c r="L74" s="2" t="s">
        <v>21</v>
      </c>
      <c r="M74" s="2">
        <v>5</v>
      </c>
      <c r="N74" s="2" t="s">
        <v>22</v>
      </c>
      <c r="O74" s="2">
        <v>155</v>
      </c>
    </row>
    <row r="75" spans="1:15" x14ac:dyDescent="0.25">
      <c r="A75" s="2" t="s">
        <v>186</v>
      </c>
      <c r="B75" s="2" t="s">
        <v>187</v>
      </c>
      <c r="C75" s="3">
        <v>46036</v>
      </c>
      <c r="D75" s="2" t="s">
        <v>25</v>
      </c>
      <c r="E75" s="2" t="s">
        <v>26</v>
      </c>
      <c r="F75" s="2" t="s">
        <v>27</v>
      </c>
      <c r="G75" s="2" t="s">
        <v>28</v>
      </c>
      <c r="H75" s="2">
        <v>79</v>
      </c>
      <c r="I75" s="4">
        <v>0.39583333333333331</v>
      </c>
      <c r="J75" s="2">
        <v>66</v>
      </c>
      <c r="K75" s="2">
        <v>55</v>
      </c>
      <c r="L75" s="2" t="s">
        <v>21</v>
      </c>
      <c r="M75" s="2">
        <v>2</v>
      </c>
      <c r="N75" s="2" t="s">
        <v>29</v>
      </c>
      <c r="O75" s="2">
        <v>425</v>
      </c>
    </row>
    <row r="76" spans="1:15" x14ac:dyDescent="0.25">
      <c r="A76" s="2" t="s">
        <v>188</v>
      </c>
      <c r="B76" s="2" t="s">
        <v>189</v>
      </c>
      <c r="C76" s="3">
        <v>46036</v>
      </c>
      <c r="D76" s="2" t="s">
        <v>37</v>
      </c>
      <c r="E76" s="2" t="s">
        <v>38</v>
      </c>
      <c r="F76" s="2" t="s">
        <v>27</v>
      </c>
      <c r="G76" s="2" t="s">
        <v>40</v>
      </c>
      <c r="H76" s="2">
        <v>51</v>
      </c>
      <c r="I76" s="4">
        <v>0.41666666666666669</v>
      </c>
      <c r="J76" s="2">
        <v>47</v>
      </c>
      <c r="K76" s="2">
        <v>45</v>
      </c>
      <c r="L76" s="2" t="s">
        <v>21</v>
      </c>
      <c r="M76" s="2">
        <v>3</v>
      </c>
      <c r="N76" s="2" t="s">
        <v>22</v>
      </c>
      <c r="O76" s="2">
        <v>305</v>
      </c>
    </row>
    <row r="77" spans="1:15" x14ac:dyDescent="0.25">
      <c r="A77" s="2" t="s">
        <v>190</v>
      </c>
      <c r="B77" s="2" t="s">
        <v>191</v>
      </c>
      <c r="C77" s="3">
        <v>46036</v>
      </c>
      <c r="D77" s="2" t="s">
        <v>17</v>
      </c>
      <c r="E77" s="2" t="s">
        <v>18</v>
      </c>
      <c r="F77" s="2" t="s">
        <v>19</v>
      </c>
      <c r="G77" s="2" t="s">
        <v>40</v>
      </c>
      <c r="H77" s="2">
        <v>33</v>
      </c>
      <c r="I77" s="4">
        <v>0.4375</v>
      </c>
      <c r="J77" s="2">
        <v>18</v>
      </c>
      <c r="K77" s="2">
        <v>35</v>
      </c>
      <c r="L77" s="2" t="s">
        <v>21</v>
      </c>
      <c r="M77" s="2">
        <v>5</v>
      </c>
      <c r="N77" s="2" t="s">
        <v>22</v>
      </c>
      <c r="O77" s="2">
        <v>190</v>
      </c>
    </row>
    <row r="78" spans="1:15" x14ac:dyDescent="0.25">
      <c r="A78" s="2" t="s">
        <v>192</v>
      </c>
      <c r="B78" s="2" t="s">
        <v>193</v>
      </c>
      <c r="C78" s="3">
        <v>46036</v>
      </c>
      <c r="D78" s="2" t="s">
        <v>32</v>
      </c>
      <c r="E78" s="2" t="s">
        <v>33</v>
      </c>
      <c r="F78" s="2" t="s">
        <v>49</v>
      </c>
      <c r="G78" s="2" t="s">
        <v>20</v>
      </c>
      <c r="H78" s="2">
        <v>5</v>
      </c>
      <c r="I78" s="4">
        <v>0.45833333333333331</v>
      </c>
      <c r="J78" s="2">
        <v>8</v>
      </c>
      <c r="K78" s="2">
        <v>25</v>
      </c>
      <c r="L78" s="2" t="s">
        <v>21</v>
      </c>
      <c r="M78" s="2">
        <v>5</v>
      </c>
      <c r="N78" s="2" t="s">
        <v>22</v>
      </c>
      <c r="O78" s="2">
        <v>140</v>
      </c>
    </row>
    <row r="79" spans="1:15" x14ac:dyDescent="0.25">
      <c r="A79" s="2" t="s">
        <v>194</v>
      </c>
      <c r="B79" s="2" t="s">
        <v>195</v>
      </c>
      <c r="C79" s="3">
        <v>46036</v>
      </c>
      <c r="D79" s="2" t="s">
        <v>25</v>
      </c>
      <c r="E79" s="2" t="s">
        <v>26</v>
      </c>
      <c r="F79" s="2" t="s">
        <v>39</v>
      </c>
      <c r="G79" s="2" t="s">
        <v>40</v>
      </c>
      <c r="H79" s="2">
        <v>60</v>
      </c>
      <c r="I79" s="4">
        <v>0.47916666666666669</v>
      </c>
      <c r="J79" s="2">
        <v>59</v>
      </c>
      <c r="K79" s="2">
        <v>60</v>
      </c>
      <c r="L79" s="2" t="s">
        <v>21</v>
      </c>
      <c r="M79" s="2">
        <v>3</v>
      </c>
      <c r="N79" s="2" t="s">
        <v>29</v>
      </c>
      <c r="O79" s="2">
        <v>535</v>
      </c>
    </row>
    <row r="80" spans="1:15" x14ac:dyDescent="0.25">
      <c r="A80" s="2" t="s">
        <v>196</v>
      </c>
      <c r="B80" s="2" t="s">
        <v>197</v>
      </c>
      <c r="C80" s="3">
        <v>46036</v>
      </c>
      <c r="D80" s="2" t="s">
        <v>45</v>
      </c>
      <c r="E80" s="2" t="s">
        <v>46</v>
      </c>
      <c r="F80" s="2" t="s">
        <v>39</v>
      </c>
      <c r="G80" s="2" t="s">
        <v>61</v>
      </c>
      <c r="H80" s="2">
        <v>28</v>
      </c>
      <c r="I80" s="4">
        <v>0.54166666666666663</v>
      </c>
      <c r="J80" s="2">
        <v>42</v>
      </c>
      <c r="K80" s="2">
        <v>50</v>
      </c>
      <c r="L80" s="2" t="s">
        <v>21</v>
      </c>
      <c r="M80" s="2">
        <v>3</v>
      </c>
      <c r="N80" s="2" t="s">
        <v>29</v>
      </c>
      <c r="O80" s="2">
        <v>345</v>
      </c>
    </row>
    <row r="81" spans="1:15" x14ac:dyDescent="0.25">
      <c r="A81" s="2" t="s">
        <v>198</v>
      </c>
      <c r="B81" s="2" t="s">
        <v>199</v>
      </c>
      <c r="C81" s="3">
        <v>46036</v>
      </c>
      <c r="D81" s="2" t="s">
        <v>17</v>
      </c>
      <c r="E81" s="2" t="s">
        <v>18</v>
      </c>
      <c r="F81" s="2" t="s">
        <v>27</v>
      </c>
      <c r="G81" s="2" t="s">
        <v>28</v>
      </c>
      <c r="H81" s="2">
        <v>63</v>
      </c>
      <c r="I81" s="4">
        <v>0.5625</v>
      </c>
      <c r="J81" s="2">
        <v>24</v>
      </c>
      <c r="K81" s="2">
        <v>30</v>
      </c>
      <c r="L81" s="2" t="s">
        <v>21</v>
      </c>
      <c r="M81" s="2">
        <v>4</v>
      </c>
      <c r="N81" s="2" t="s">
        <v>22</v>
      </c>
      <c r="O81" s="2">
        <v>205</v>
      </c>
    </row>
    <row r="82" spans="1:15" x14ac:dyDescent="0.25">
      <c r="A82" s="2" t="s">
        <v>200</v>
      </c>
      <c r="B82" s="2" t="s">
        <v>201</v>
      </c>
      <c r="C82" s="3">
        <v>46037</v>
      </c>
      <c r="D82" s="2" t="s">
        <v>37</v>
      </c>
      <c r="E82" s="2" t="s">
        <v>38</v>
      </c>
      <c r="F82" s="2" t="s">
        <v>39</v>
      </c>
      <c r="G82" s="2" t="s">
        <v>40</v>
      </c>
      <c r="H82" s="2">
        <v>57</v>
      </c>
      <c r="I82" s="4">
        <v>0.33333333333333331</v>
      </c>
      <c r="J82" s="2">
        <v>63</v>
      </c>
      <c r="K82" s="2">
        <v>65</v>
      </c>
      <c r="L82" s="2" t="s">
        <v>21</v>
      </c>
      <c r="M82" s="2">
        <v>2</v>
      </c>
      <c r="N82" s="2" t="s">
        <v>29</v>
      </c>
      <c r="O82" s="2">
        <v>595</v>
      </c>
    </row>
    <row r="83" spans="1:15" x14ac:dyDescent="0.25">
      <c r="A83" s="2" t="s">
        <v>202</v>
      </c>
      <c r="B83" s="2" t="s">
        <v>203</v>
      </c>
      <c r="C83" s="3">
        <v>46037</v>
      </c>
      <c r="D83" s="2" t="s">
        <v>17</v>
      </c>
      <c r="E83" s="2" t="s">
        <v>18</v>
      </c>
      <c r="F83" s="2" t="s">
        <v>34</v>
      </c>
      <c r="G83" s="2" t="s">
        <v>20</v>
      </c>
      <c r="H83" s="2">
        <v>26</v>
      </c>
      <c r="I83" s="4">
        <v>0.35416666666666669</v>
      </c>
      <c r="J83" s="2">
        <v>21</v>
      </c>
      <c r="K83" s="2">
        <v>30</v>
      </c>
      <c r="L83" s="2" t="s">
        <v>21</v>
      </c>
      <c r="M83" s="2">
        <v>5</v>
      </c>
      <c r="N83" s="2" t="s">
        <v>22</v>
      </c>
      <c r="O83" s="2">
        <v>160</v>
      </c>
    </row>
    <row r="84" spans="1:15" x14ac:dyDescent="0.25">
      <c r="A84" s="2" t="s">
        <v>204</v>
      </c>
      <c r="B84" s="2" t="s">
        <v>205</v>
      </c>
      <c r="C84" s="3">
        <v>46037</v>
      </c>
      <c r="D84" s="2" t="s">
        <v>32</v>
      </c>
      <c r="E84" s="2" t="s">
        <v>33</v>
      </c>
      <c r="F84" s="2" t="s">
        <v>49</v>
      </c>
      <c r="G84" s="2" t="s">
        <v>20</v>
      </c>
      <c r="H84" s="2">
        <v>8</v>
      </c>
      <c r="I84" s="4">
        <v>0.375</v>
      </c>
      <c r="J84" s="2">
        <v>9</v>
      </c>
      <c r="K84" s="2">
        <v>25</v>
      </c>
      <c r="L84" s="2" t="s">
        <v>21</v>
      </c>
      <c r="M84" s="2">
        <v>5</v>
      </c>
      <c r="N84" s="2" t="s">
        <v>22</v>
      </c>
      <c r="O84" s="2">
        <v>145</v>
      </c>
    </row>
    <row r="85" spans="1:15" x14ac:dyDescent="0.25">
      <c r="A85" s="2" t="s">
        <v>206</v>
      </c>
      <c r="B85" s="2" t="s">
        <v>207</v>
      </c>
      <c r="C85" s="3">
        <v>46037</v>
      </c>
      <c r="D85" s="2" t="s">
        <v>25</v>
      </c>
      <c r="E85" s="2" t="s">
        <v>26</v>
      </c>
      <c r="F85" s="2" t="s">
        <v>27</v>
      </c>
      <c r="G85" s="2" t="s">
        <v>28</v>
      </c>
      <c r="H85" s="2">
        <v>72</v>
      </c>
      <c r="I85" s="4">
        <v>0.39583333333333331</v>
      </c>
      <c r="J85" s="2">
        <v>55</v>
      </c>
      <c r="K85" s="2">
        <v>50</v>
      </c>
      <c r="L85" s="2" t="s">
        <v>21</v>
      </c>
      <c r="M85" s="2">
        <v>3</v>
      </c>
      <c r="N85" s="2" t="s">
        <v>29</v>
      </c>
      <c r="O85" s="2">
        <v>415</v>
      </c>
    </row>
    <row r="86" spans="1:15" x14ac:dyDescent="0.25">
      <c r="A86" s="2" t="s">
        <v>208</v>
      </c>
      <c r="B86" s="2" t="s">
        <v>209</v>
      </c>
      <c r="C86" s="3">
        <v>46037</v>
      </c>
      <c r="D86" s="2" t="s">
        <v>45</v>
      </c>
      <c r="E86" s="2" t="s">
        <v>46</v>
      </c>
      <c r="F86" s="2" t="s">
        <v>27</v>
      </c>
      <c r="G86" s="2" t="s">
        <v>40</v>
      </c>
      <c r="H86" s="2">
        <v>39</v>
      </c>
      <c r="I86" s="4">
        <v>0.41666666666666669</v>
      </c>
      <c r="J86" s="2">
        <v>29</v>
      </c>
      <c r="K86" s="2">
        <v>35</v>
      </c>
      <c r="L86" s="2" t="s">
        <v>21</v>
      </c>
      <c r="M86" s="2">
        <v>4</v>
      </c>
      <c r="N86" s="2" t="s">
        <v>22</v>
      </c>
      <c r="O86" s="2">
        <v>240</v>
      </c>
    </row>
    <row r="87" spans="1:15" x14ac:dyDescent="0.25">
      <c r="A87" s="2" t="s">
        <v>210</v>
      </c>
      <c r="B87" s="2" t="s">
        <v>211</v>
      </c>
      <c r="C87" s="3">
        <v>46037</v>
      </c>
      <c r="D87" s="2" t="s">
        <v>17</v>
      </c>
      <c r="E87" s="2" t="s">
        <v>18</v>
      </c>
      <c r="F87" s="2" t="s">
        <v>19</v>
      </c>
      <c r="G87" s="2" t="s">
        <v>40</v>
      </c>
      <c r="H87" s="2">
        <v>48</v>
      </c>
      <c r="I87" s="4">
        <v>0.4375</v>
      </c>
      <c r="J87" s="2">
        <v>16</v>
      </c>
      <c r="K87" s="2">
        <v>35</v>
      </c>
      <c r="L87" s="2" t="s">
        <v>21</v>
      </c>
      <c r="M87" s="2">
        <v>5</v>
      </c>
      <c r="N87" s="2" t="s">
        <v>22</v>
      </c>
      <c r="O87" s="2">
        <v>190</v>
      </c>
    </row>
    <row r="88" spans="1:15" x14ac:dyDescent="0.25">
      <c r="A88" s="2" t="s">
        <v>212</v>
      </c>
      <c r="B88" s="2" t="s">
        <v>213</v>
      </c>
      <c r="C88" s="3">
        <v>46037</v>
      </c>
      <c r="D88" s="2" t="s">
        <v>32</v>
      </c>
      <c r="E88" s="2" t="s">
        <v>33</v>
      </c>
      <c r="F88" s="2" t="s">
        <v>34</v>
      </c>
      <c r="G88" s="2" t="s">
        <v>20</v>
      </c>
      <c r="H88" s="2">
        <v>13</v>
      </c>
      <c r="I88" s="4">
        <v>0.45833333333333331</v>
      </c>
      <c r="J88" s="2">
        <v>15</v>
      </c>
      <c r="K88" s="2">
        <v>30</v>
      </c>
      <c r="L88" s="2" t="s">
        <v>21</v>
      </c>
      <c r="M88" s="2">
        <v>5</v>
      </c>
      <c r="N88" s="2" t="s">
        <v>22</v>
      </c>
      <c r="O88" s="2">
        <v>160</v>
      </c>
    </row>
    <row r="89" spans="1:15" x14ac:dyDescent="0.25">
      <c r="A89" s="2" t="s">
        <v>214</v>
      </c>
      <c r="B89" s="2" t="s">
        <v>215</v>
      </c>
      <c r="C89" s="3">
        <v>46037</v>
      </c>
      <c r="D89" s="2" t="s">
        <v>25</v>
      </c>
      <c r="E89" s="2" t="s">
        <v>26</v>
      </c>
      <c r="F89" s="2" t="s">
        <v>39</v>
      </c>
      <c r="G89" s="2" t="s">
        <v>28</v>
      </c>
      <c r="H89" s="2">
        <v>80</v>
      </c>
      <c r="I89" s="4">
        <v>0.47916666666666669</v>
      </c>
      <c r="J89" s="2">
        <v>76</v>
      </c>
      <c r="K89" s="2">
        <v>65</v>
      </c>
      <c r="L89" s="2" t="s">
        <v>21</v>
      </c>
      <c r="M89" s="2">
        <v>2</v>
      </c>
      <c r="N89" s="2" t="s">
        <v>29</v>
      </c>
      <c r="O89" s="2">
        <v>590</v>
      </c>
    </row>
    <row r="90" spans="1:15" x14ac:dyDescent="0.25">
      <c r="A90" s="2" t="s">
        <v>216</v>
      </c>
      <c r="B90" s="2" t="s">
        <v>217</v>
      </c>
      <c r="C90" s="3">
        <v>46037</v>
      </c>
      <c r="D90" s="2" t="s">
        <v>37</v>
      </c>
      <c r="E90" s="2" t="s">
        <v>38</v>
      </c>
      <c r="F90" s="2" t="s">
        <v>27</v>
      </c>
      <c r="G90" s="2" t="s">
        <v>40</v>
      </c>
      <c r="H90" s="2">
        <v>46</v>
      </c>
      <c r="I90" s="4">
        <v>0.54166666666666663</v>
      </c>
      <c r="J90" s="2">
        <v>51</v>
      </c>
      <c r="K90" s="2">
        <v>45</v>
      </c>
      <c r="L90" s="2" t="s">
        <v>52</v>
      </c>
      <c r="N90" s="2" t="s">
        <v>22</v>
      </c>
      <c r="O90" s="2">
        <v>295</v>
      </c>
    </row>
    <row r="91" spans="1:15" x14ac:dyDescent="0.25">
      <c r="A91" s="2" t="s">
        <v>218</v>
      </c>
      <c r="B91" s="2" t="s">
        <v>219</v>
      </c>
      <c r="C91" s="3">
        <v>46037</v>
      </c>
      <c r="D91" s="2" t="s">
        <v>17</v>
      </c>
      <c r="E91" s="2" t="s">
        <v>18</v>
      </c>
      <c r="F91" s="2" t="s">
        <v>55</v>
      </c>
      <c r="G91" s="2" t="s">
        <v>20</v>
      </c>
      <c r="H91" s="2">
        <v>59</v>
      </c>
      <c r="I91" s="4">
        <v>0.5625</v>
      </c>
      <c r="J91" s="2">
        <v>28</v>
      </c>
      <c r="K91" s="2">
        <v>25</v>
      </c>
      <c r="L91" s="2" t="s">
        <v>21</v>
      </c>
      <c r="M91" s="2">
        <v>4</v>
      </c>
      <c r="N91" s="2" t="s">
        <v>22</v>
      </c>
      <c r="O91" s="2">
        <v>145</v>
      </c>
    </row>
    <row r="92" spans="1:15" x14ac:dyDescent="0.25">
      <c r="A92" s="2" t="s">
        <v>220</v>
      </c>
      <c r="B92" s="2" t="s">
        <v>221</v>
      </c>
      <c r="C92" s="3">
        <v>46038</v>
      </c>
      <c r="D92" s="2" t="s">
        <v>45</v>
      </c>
      <c r="E92" s="2" t="s">
        <v>46</v>
      </c>
      <c r="F92" s="2" t="s">
        <v>39</v>
      </c>
      <c r="G92" s="2" t="s">
        <v>40</v>
      </c>
      <c r="H92" s="2">
        <v>34</v>
      </c>
      <c r="I92" s="4">
        <v>0.33333333333333331</v>
      </c>
      <c r="J92" s="2">
        <v>40</v>
      </c>
      <c r="K92" s="2">
        <v>50</v>
      </c>
      <c r="L92" s="2" t="s">
        <v>21</v>
      </c>
      <c r="M92" s="2">
        <v>3</v>
      </c>
      <c r="N92" s="2" t="s">
        <v>29</v>
      </c>
      <c r="O92" s="2">
        <v>350</v>
      </c>
    </row>
    <row r="93" spans="1:15" x14ac:dyDescent="0.25">
      <c r="A93" s="2" t="s">
        <v>222</v>
      </c>
      <c r="B93" s="2" t="s">
        <v>223</v>
      </c>
      <c r="C93" s="3">
        <v>46038</v>
      </c>
      <c r="D93" s="2" t="s">
        <v>17</v>
      </c>
      <c r="E93" s="2" t="s">
        <v>18</v>
      </c>
      <c r="F93" s="2" t="s">
        <v>27</v>
      </c>
      <c r="G93" s="2" t="s">
        <v>28</v>
      </c>
      <c r="H93" s="2">
        <v>70</v>
      </c>
      <c r="I93" s="4">
        <v>0.35416666666666669</v>
      </c>
      <c r="J93" s="2">
        <v>20</v>
      </c>
      <c r="K93" s="2">
        <v>30</v>
      </c>
      <c r="L93" s="2" t="s">
        <v>21</v>
      </c>
      <c r="M93" s="2">
        <v>4</v>
      </c>
      <c r="N93" s="2" t="s">
        <v>22</v>
      </c>
      <c r="O93" s="2">
        <v>200</v>
      </c>
    </row>
    <row r="94" spans="1:15" x14ac:dyDescent="0.25">
      <c r="A94" s="2" t="s">
        <v>224</v>
      </c>
      <c r="B94" s="2" t="s">
        <v>225</v>
      </c>
      <c r="C94" s="3">
        <v>46038</v>
      </c>
      <c r="D94" s="2" t="s">
        <v>32</v>
      </c>
      <c r="E94" s="2" t="s">
        <v>33</v>
      </c>
      <c r="F94" s="2" t="s">
        <v>49</v>
      </c>
      <c r="G94" s="2" t="s">
        <v>20</v>
      </c>
      <c r="H94" s="2">
        <v>4</v>
      </c>
      <c r="I94" s="4">
        <v>0.375</v>
      </c>
      <c r="J94" s="2">
        <v>7</v>
      </c>
      <c r="K94" s="2">
        <v>25</v>
      </c>
      <c r="L94" s="2" t="s">
        <v>21</v>
      </c>
      <c r="M94" s="2">
        <v>5</v>
      </c>
      <c r="N94" s="2" t="s">
        <v>22</v>
      </c>
      <c r="O94" s="2">
        <v>140</v>
      </c>
    </row>
    <row r="95" spans="1:15" x14ac:dyDescent="0.25">
      <c r="A95" s="2" t="s">
        <v>226</v>
      </c>
      <c r="B95" s="2" t="s">
        <v>227</v>
      </c>
      <c r="C95" s="3">
        <v>46038</v>
      </c>
      <c r="D95" s="2" t="s">
        <v>25</v>
      </c>
      <c r="E95" s="2" t="s">
        <v>26</v>
      </c>
      <c r="F95" s="2" t="s">
        <v>27</v>
      </c>
      <c r="G95" s="2" t="s">
        <v>28</v>
      </c>
      <c r="H95" s="2">
        <v>68</v>
      </c>
      <c r="I95" s="4">
        <v>0.39583333333333331</v>
      </c>
      <c r="J95" s="2">
        <v>49</v>
      </c>
      <c r="K95" s="2">
        <v>50</v>
      </c>
      <c r="L95" s="2" t="s">
        <v>21</v>
      </c>
      <c r="M95" s="2">
        <v>3</v>
      </c>
      <c r="N95" s="2" t="s">
        <v>29</v>
      </c>
      <c r="O95" s="2">
        <v>405</v>
      </c>
    </row>
    <row r="96" spans="1:15" x14ac:dyDescent="0.25">
      <c r="A96" s="2" t="s">
        <v>228</v>
      </c>
      <c r="B96" s="2" t="s">
        <v>229</v>
      </c>
      <c r="C96" s="3">
        <v>46038</v>
      </c>
      <c r="D96" s="2" t="s">
        <v>37</v>
      </c>
      <c r="E96" s="2" t="s">
        <v>38</v>
      </c>
      <c r="F96" s="2" t="s">
        <v>39</v>
      </c>
      <c r="G96" s="2" t="s">
        <v>20</v>
      </c>
      <c r="H96" s="2">
        <v>63</v>
      </c>
      <c r="I96" s="4">
        <v>0.41666666666666669</v>
      </c>
      <c r="J96" s="2">
        <v>74</v>
      </c>
      <c r="K96" s="2">
        <v>65</v>
      </c>
      <c r="L96" s="2" t="s">
        <v>21</v>
      </c>
      <c r="M96" s="2">
        <v>2</v>
      </c>
      <c r="N96" s="2" t="s">
        <v>29</v>
      </c>
      <c r="O96" s="2">
        <v>600</v>
      </c>
    </row>
    <row r="97" spans="1:15" x14ac:dyDescent="0.25">
      <c r="A97" s="2" t="s">
        <v>230</v>
      </c>
      <c r="B97" s="2" t="s">
        <v>231</v>
      </c>
      <c r="C97" s="3">
        <v>46038</v>
      </c>
      <c r="D97" s="2" t="s">
        <v>17</v>
      </c>
      <c r="E97" s="2" t="s">
        <v>18</v>
      </c>
      <c r="F97" s="2" t="s">
        <v>34</v>
      </c>
      <c r="G97" s="2" t="s">
        <v>40</v>
      </c>
      <c r="H97" s="2">
        <v>37</v>
      </c>
      <c r="I97" s="4">
        <v>0.4375</v>
      </c>
      <c r="J97" s="2">
        <v>23</v>
      </c>
      <c r="K97" s="2">
        <v>30</v>
      </c>
      <c r="L97" s="2" t="s">
        <v>21</v>
      </c>
      <c r="M97" s="2">
        <v>4</v>
      </c>
      <c r="N97" s="2" t="s">
        <v>22</v>
      </c>
      <c r="O97" s="2">
        <v>170</v>
      </c>
    </row>
    <row r="98" spans="1:15" x14ac:dyDescent="0.25">
      <c r="A98" s="2" t="s">
        <v>232</v>
      </c>
      <c r="B98" s="2" t="s">
        <v>233</v>
      </c>
      <c r="C98" s="3">
        <v>46038</v>
      </c>
      <c r="D98" s="2" t="s">
        <v>32</v>
      </c>
      <c r="E98" s="2" t="s">
        <v>33</v>
      </c>
      <c r="F98" s="2" t="s">
        <v>34</v>
      </c>
      <c r="G98" s="2" t="s">
        <v>20</v>
      </c>
      <c r="H98" s="2">
        <v>15</v>
      </c>
      <c r="I98" s="4">
        <v>0.45833333333333331</v>
      </c>
      <c r="J98" s="2">
        <v>13</v>
      </c>
      <c r="K98" s="2">
        <v>30</v>
      </c>
      <c r="L98" s="2" t="s">
        <v>21</v>
      </c>
      <c r="M98" s="2">
        <v>5</v>
      </c>
      <c r="N98" s="2" t="s">
        <v>22</v>
      </c>
      <c r="O98" s="2">
        <v>165</v>
      </c>
    </row>
    <row r="99" spans="1:15" x14ac:dyDescent="0.25">
      <c r="A99" s="2" t="s">
        <v>234</v>
      </c>
      <c r="B99" s="2" t="s">
        <v>235</v>
      </c>
      <c r="C99" s="3">
        <v>46038</v>
      </c>
      <c r="D99" s="2" t="s">
        <v>45</v>
      </c>
      <c r="E99" s="2" t="s">
        <v>46</v>
      </c>
      <c r="F99" s="2" t="s">
        <v>27</v>
      </c>
      <c r="G99" s="2" t="s">
        <v>40</v>
      </c>
      <c r="H99" s="2">
        <v>45</v>
      </c>
      <c r="I99" s="4">
        <v>0.47916666666666669</v>
      </c>
      <c r="J99" s="2">
        <v>35</v>
      </c>
      <c r="K99" s="2">
        <v>35</v>
      </c>
      <c r="L99" s="2" t="s">
        <v>21</v>
      </c>
      <c r="M99" s="2">
        <v>4</v>
      </c>
      <c r="N99" s="2" t="s">
        <v>22</v>
      </c>
      <c r="O99" s="2">
        <v>235</v>
      </c>
    </row>
    <row r="100" spans="1:15" x14ac:dyDescent="0.25">
      <c r="A100" s="2" t="s">
        <v>236</v>
      </c>
      <c r="B100" s="2" t="s">
        <v>237</v>
      </c>
      <c r="C100" s="3">
        <v>46038</v>
      </c>
      <c r="D100" s="2" t="s">
        <v>25</v>
      </c>
      <c r="E100" s="2" t="s">
        <v>26</v>
      </c>
      <c r="F100" s="2" t="s">
        <v>39</v>
      </c>
      <c r="G100" s="2" t="s">
        <v>40</v>
      </c>
      <c r="H100" s="2">
        <v>56</v>
      </c>
      <c r="I100" s="4">
        <v>0.54166666666666663</v>
      </c>
      <c r="J100" s="2">
        <v>58</v>
      </c>
      <c r="K100" s="2">
        <v>60</v>
      </c>
      <c r="L100" s="2" t="s">
        <v>21</v>
      </c>
      <c r="M100" s="2">
        <v>3</v>
      </c>
      <c r="N100" s="2" t="s">
        <v>29</v>
      </c>
      <c r="O100" s="2">
        <v>525</v>
      </c>
    </row>
    <row r="101" spans="1:15" x14ac:dyDescent="0.25">
      <c r="A101" s="2" t="s">
        <v>238</v>
      </c>
      <c r="B101" s="2" t="s">
        <v>239</v>
      </c>
      <c r="C101" s="3">
        <v>46038</v>
      </c>
      <c r="D101" s="2" t="s">
        <v>17</v>
      </c>
      <c r="E101" s="2" t="s">
        <v>18</v>
      </c>
      <c r="F101" s="2" t="s">
        <v>19</v>
      </c>
      <c r="G101" s="2" t="s">
        <v>20</v>
      </c>
      <c r="H101" s="2">
        <v>32</v>
      </c>
      <c r="I101" s="4">
        <v>0.5625</v>
      </c>
      <c r="J101" s="2">
        <v>17</v>
      </c>
      <c r="K101" s="2">
        <v>35</v>
      </c>
      <c r="L101" s="2" t="s">
        <v>21</v>
      </c>
      <c r="M101" s="2">
        <v>5</v>
      </c>
      <c r="N101" s="2" t="s">
        <v>22</v>
      </c>
      <c r="O101" s="2">
        <v>180</v>
      </c>
    </row>
    <row r="102" spans="1:15" hidden="1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AEDF-75B1-4D91-ADB9-F4ECB6BE714F}">
  <dimension ref="A3:D9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28.140625" bestFit="1" customWidth="1"/>
    <col min="3" max="3" width="29" bestFit="1" customWidth="1"/>
    <col min="4" max="4" width="24.28515625" bestFit="1" customWidth="1"/>
  </cols>
  <sheetData>
    <row r="3" spans="1:4" x14ac:dyDescent="0.25">
      <c r="A3" s="5" t="s">
        <v>240</v>
      </c>
      <c r="B3" t="s">
        <v>243</v>
      </c>
      <c r="C3" t="s">
        <v>242</v>
      </c>
      <c r="D3" t="s">
        <v>247</v>
      </c>
    </row>
    <row r="4" spans="1:4" x14ac:dyDescent="0.25">
      <c r="A4" s="6" t="s">
        <v>25</v>
      </c>
      <c r="B4" s="7">
        <v>2.6842105263157894</v>
      </c>
      <c r="C4" s="7">
        <v>56.3</v>
      </c>
      <c r="D4" s="7">
        <v>20</v>
      </c>
    </row>
    <row r="5" spans="1:4" x14ac:dyDescent="0.25">
      <c r="A5" s="6" t="s">
        <v>45</v>
      </c>
      <c r="B5" s="7">
        <v>3.8571428571428572</v>
      </c>
      <c r="C5" s="7">
        <v>34</v>
      </c>
      <c r="D5" s="7">
        <v>16</v>
      </c>
    </row>
    <row r="6" spans="1:4" x14ac:dyDescent="0.25">
      <c r="A6" s="6" t="s">
        <v>37</v>
      </c>
      <c r="B6" s="7">
        <v>2.5714285714285716</v>
      </c>
      <c r="C6" s="7">
        <v>57.4375</v>
      </c>
      <c r="D6" s="7">
        <v>16</v>
      </c>
    </row>
    <row r="7" spans="1:4" x14ac:dyDescent="0.25">
      <c r="A7" s="6" t="s">
        <v>32</v>
      </c>
      <c r="B7" s="7">
        <v>5</v>
      </c>
      <c r="C7" s="7">
        <v>11.3</v>
      </c>
      <c r="D7" s="7">
        <v>20</v>
      </c>
    </row>
    <row r="8" spans="1:4" x14ac:dyDescent="0.25">
      <c r="A8" s="6" t="s">
        <v>17</v>
      </c>
      <c r="B8" s="7">
        <v>4.3703703703703702</v>
      </c>
      <c r="C8" s="7">
        <v>22.571428571428573</v>
      </c>
      <c r="D8" s="7">
        <v>28</v>
      </c>
    </row>
    <row r="9" spans="1:4" x14ac:dyDescent="0.25">
      <c r="A9" s="6" t="s">
        <v>241</v>
      </c>
      <c r="B9" s="7">
        <v>3.8191489361702127</v>
      </c>
      <c r="C9" s="7">
        <v>34.47</v>
      </c>
      <c r="D9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F5D5-C9C1-4D5C-B162-3BB73AC4287C}">
  <dimension ref="A3:B9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28.140625" bestFit="1" customWidth="1"/>
  </cols>
  <sheetData>
    <row r="3" spans="1:2" x14ac:dyDescent="0.25">
      <c r="A3" s="5" t="s">
        <v>240</v>
      </c>
      <c r="B3" t="s">
        <v>243</v>
      </c>
    </row>
    <row r="4" spans="1:2" x14ac:dyDescent="0.25">
      <c r="A4" s="6" t="s">
        <v>25</v>
      </c>
      <c r="B4" s="7">
        <v>2.6842105263157894</v>
      </c>
    </row>
    <row r="5" spans="1:2" x14ac:dyDescent="0.25">
      <c r="A5" s="6" t="s">
        <v>45</v>
      </c>
      <c r="B5" s="7">
        <v>3.8571428571428572</v>
      </c>
    </row>
    <row r="6" spans="1:2" x14ac:dyDescent="0.25">
      <c r="A6" s="6" t="s">
        <v>37</v>
      </c>
      <c r="B6" s="7">
        <v>2.5714285714285716</v>
      </c>
    </row>
    <row r="7" spans="1:2" x14ac:dyDescent="0.25">
      <c r="A7" s="6" t="s">
        <v>32</v>
      </c>
      <c r="B7" s="7">
        <v>5</v>
      </c>
    </row>
    <row r="8" spans="1:2" x14ac:dyDescent="0.25">
      <c r="A8" s="6" t="s">
        <v>17</v>
      </c>
      <c r="B8" s="7">
        <v>4.3703703703703702</v>
      </c>
    </row>
    <row r="9" spans="1:2" x14ac:dyDescent="0.25">
      <c r="A9" s="6" t="s">
        <v>241</v>
      </c>
      <c r="B9" s="7">
        <v>3.8191489361702127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1505-E6E0-4F90-958E-547CF6FD7871}">
  <dimension ref="A3:E9"/>
  <sheetViews>
    <sheetView workbookViewId="0">
      <selection activeCell="D6" sqref="D6"/>
    </sheetView>
  </sheetViews>
  <sheetFormatPr defaultRowHeight="15" x14ac:dyDescent="0.25"/>
  <cols>
    <col min="1" max="1" width="13.42578125" bestFit="1" customWidth="1"/>
    <col min="2" max="2" width="24.28515625" bestFit="1" customWidth="1"/>
    <col min="3" max="3" width="29" bestFit="1" customWidth="1"/>
    <col min="4" max="4" width="28.140625" bestFit="1" customWidth="1"/>
    <col min="5" max="5" width="24.7109375" bestFit="1" customWidth="1"/>
  </cols>
  <sheetData>
    <row r="3" spans="1:5" x14ac:dyDescent="0.25">
      <c r="A3" s="5" t="s">
        <v>240</v>
      </c>
      <c r="B3" t="s">
        <v>247</v>
      </c>
      <c r="C3" t="s">
        <v>242</v>
      </c>
      <c r="D3" t="s">
        <v>243</v>
      </c>
      <c r="E3" t="s">
        <v>244</v>
      </c>
    </row>
    <row r="4" spans="1:5" x14ac:dyDescent="0.25">
      <c r="A4" s="6" t="s">
        <v>18</v>
      </c>
      <c r="B4" s="7">
        <v>28</v>
      </c>
      <c r="C4" s="7">
        <v>22.571428571428573</v>
      </c>
      <c r="D4" s="7">
        <v>4.3703703703703702</v>
      </c>
      <c r="E4" s="7">
        <v>185.35714285714286</v>
      </c>
    </row>
    <row r="5" spans="1:5" x14ac:dyDescent="0.25">
      <c r="A5" s="6" t="s">
        <v>33</v>
      </c>
      <c r="B5" s="7">
        <v>20</v>
      </c>
      <c r="C5" s="7">
        <v>11.3</v>
      </c>
      <c r="D5" s="7">
        <v>5</v>
      </c>
      <c r="E5" s="7">
        <v>152</v>
      </c>
    </row>
    <row r="6" spans="1:5" x14ac:dyDescent="0.25">
      <c r="A6" s="6" t="s">
        <v>46</v>
      </c>
      <c r="B6" s="7">
        <v>16</v>
      </c>
      <c r="C6" s="7">
        <v>34</v>
      </c>
      <c r="D6" s="7">
        <v>3.8571428571428572</v>
      </c>
      <c r="E6" s="7">
        <v>294.6875</v>
      </c>
    </row>
    <row r="7" spans="1:5" x14ac:dyDescent="0.25">
      <c r="A7" s="6" t="s">
        <v>38</v>
      </c>
      <c r="B7" s="7">
        <v>16</v>
      </c>
      <c r="C7" s="7">
        <v>57.4375</v>
      </c>
      <c r="D7" s="7">
        <v>2.5714285714285716</v>
      </c>
      <c r="E7" s="7">
        <v>436.25</v>
      </c>
    </row>
    <row r="8" spans="1:5" x14ac:dyDescent="0.25">
      <c r="A8" s="6" t="s">
        <v>26</v>
      </c>
      <c r="B8" s="7">
        <v>20</v>
      </c>
      <c r="C8" s="7">
        <v>56.3</v>
      </c>
      <c r="D8" s="7">
        <v>2.6842105263157894</v>
      </c>
      <c r="E8" s="7">
        <v>458.5</v>
      </c>
    </row>
    <row r="9" spans="1:5" x14ac:dyDescent="0.25">
      <c r="A9" s="6" t="s">
        <v>241</v>
      </c>
      <c r="B9" s="7">
        <v>100</v>
      </c>
      <c r="C9" s="7">
        <v>34.47</v>
      </c>
      <c r="D9" s="7">
        <v>3.8191489361702127</v>
      </c>
      <c r="E9" s="7">
        <v>290.95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2416-EDBC-41A0-BA1A-B9845D250E22}">
  <dimension ref="A3:C10"/>
  <sheetViews>
    <sheetView workbookViewId="0">
      <selection activeCell="B5" sqref="B5"/>
    </sheetView>
  </sheetViews>
  <sheetFormatPr defaultRowHeight="15" x14ac:dyDescent="0.25"/>
  <cols>
    <col min="1" max="1" width="16.7109375" bestFit="1" customWidth="1"/>
    <col min="2" max="2" width="29" bestFit="1" customWidth="1"/>
    <col min="3" max="3" width="26.7109375" bestFit="1" customWidth="1"/>
    <col min="4" max="5" width="24.7109375" bestFit="1" customWidth="1"/>
  </cols>
  <sheetData>
    <row r="3" spans="1:3" x14ac:dyDescent="0.25">
      <c r="A3" s="5" t="s">
        <v>240</v>
      </c>
      <c r="B3" t="s">
        <v>242</v>
      </c>
      <c r="C3" t="s">
        <v>256</v>
      </c>
    </row>
    <row r="4" spans="1:3" x14ac:dyDescent="0.25">
      <c r="A4" s="6" t="s">
        <v>19</v>
      </c>
      <c r="B4" s="7">
        <v>22.7</v>
      </c>
      <c r="C4" s="7">
        <v>10</v>
      </c>
    </row>
    <row r="5" spans="1:3" x14ac:dyDescent="0.25">
      <c r="A5" s="6" t="s">
        <v>27</v>
      </c>
      <c r="B5" s="7">
        <v>40.625</v>
      </c>
      <c r="C5" s="7">
        <v>32</v>
      </c>
    </row>
    <row r="6" spans="1:3" x14ac:dyDescent="0.25">
      <c r="A6" s="6" t="s">
        <v>55</v>
      </c>
      <c r="B6" s="7">
        <v>27</v>
      </c>
      <c r="C6" s="7">
        <v>5</v>
      </c>
    </row>
    <row r="7" spans="1:3" x14ac:dyDescent="0.25">
      <c r="A7" s="6" t="s">
        <v>39</v>
      </c>
      <c r="B7" s="7">
        <v>51.857142857142854</v>
      </c>
      <c r="C7" s="7">
        <v>28</v>
      </c>
    </row>
    <row r="8" spans="1:3" x14ac:dyDescent="0.25">
      <c r="A8" s="6" t="s">
        <v>34</v>
      </c>
      <c r="B8" s="7">
        <v>16.2</v>
      </c>
      <c r="C8" s="7">
        <v>15</v>
      </c>
    </row>
    <row r="9" spans="1:3" x14ac:dyDescent="0.25">
      <c r="A9" s="6" t="s">
        <v>49</v>
      </c>
      <c r="B9" s="7">
        <v>9</v>
      </c>
      <c r="C9" s="7">
        <v>10</v>
      </c>
    </row>
    <row r="10" spans="1:3" x14ac:dyDescent="0.25">
      <c r="A10" s="6" t="s">
        <v>241</v>
      </c>
      <c r="B10" s="7">
        <v>34.47</v>
      </c>
      <c r="C10" s="7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8A7D-38E4-410B-BAE2-1BA27D140C93}">
  <dimension ref="A3:B9"/>
  <sheetViews>
    <sheetView workbookViewId="0">
      <selection activeCell="A9" sqref="A9"/>
    </sheetView>
  </sheetViews>
  <sheetFormatPr defaultRowHeight="15" x14ac:dyDescent="0.25"/>
  <cols>
    <col min="1" max="1" width="13.42578125" bestFit="1" customWidth="1"/>
    <col min="2" max="2" width="28.140625" bestFit="1" customWidth="1"/>
    <col min="3" max="3" width="24.28515625" bestFit="1" customWidth="1"/>
  </cols>
  <sheetData>
    <row r="3" spans="1:2" x14ac:dyDescent="0.25">
      <c r="A3" s="5" t="s">
        <v>240</v>
      </c>
      <c r="B3" t="s">
        <v>243</v>
      </c>
    </row>
    <row r="4" spans="1:2" x14ac:dyDescent="0.25">
      <c r="A4" s="6" t="s">
        <v>25</v>
      </c>
      <c r="B4" s="7">
        <v>2.6842105263157894</v>
      </c>
    </row>
    <row r="5" spans="1:2" x14ac:dyDescent="0.25">
      <c r="A5" s="6" t="s">
        <v>45</v>
      </c>
      <c r="B5" s="7">
        <v>3.8571428571428572</v>
      </c>
    </row>
    <row r="6" spans="1:2" x14ac:dyDescent="0.25">
      <c r="A6" s="6" t="s">
        <v>37</v>
      </c>
      <c r="B6" s="7">
        <v>2.5714285714285716</v>
      </c>
    </row>
    <row r="7" spans="1:2" x14ac:dyDescent="0.25">
      <c r="A7" s="6" t="s">
        <v>32</v>
      </c>
      <c r="B7" s="7">
        <v>5</v>
      </c>
    </row>
    <row r="8" spans="1:2" x14ac:dyDescent="0.25">
      <c r="A8" s="6" t="s">
        <v>17</v>
      </c>
      <c r="B8" s="7">
        <v>4.3703703703703702</v>
      </c>
    </row>
    <row r="9" spans="1:2" x14ac:dyDescent="0.25">
      <c r="A9" s="6" t="s">
        <v>241</v>
      </c>
      <c r="B9" s="7">
        <v>3.8191489361702127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6F3F-1624-46A0-B9AD-3B8C18323ACD}">
  <dimension ref="A3:B7"/>
  <sheetViews>
    <sheetView workbookViewId="0">
      <selection activeCell="I18" sqref="I18"/>
    </sheetView>
  </sheetViews>
  <sheetFormatPr defaultRowHeight="15" x14ac:dyDescent="0.25"/>
  <cols>
    <col min="1" max="1" width="13.42578125" bestFit="1" customWidth="1"/>
    <col min="2" max="2" width="24.28515625" bestFit="1" customWidth="1"/>
  </cols>
  <sheetData>
    <row r="3" spans="1:2" x14ac:dyDescent="0.25">
      <c r="A3" s="5" t="s">
        <v>240</v>
      </c>
      <c r="B3" t="s">
        <v>247</v>
      </c>
    </row>
    <row r="4" spans="1:2" x14ac:dyDescent="0.25">
      <c r="A4" s="6" t="s">
        <v>58</v>
      </c>
      <c r="B4" s="7">
        <v>3</v>
      </c>
    </row>
    <row r="5" spans="1:2" x14ac:dyDescent="0.25">
      <c r="A5" s="6" t="s">
        <v>21</v>
      </c>
      <c r="B5" s="7">
        <v>94</v>
      </c>
    </row>
    <row r="6" spans="1:2" x14ac:dyDescent="0.25">
      <c r="A6" s="6" t="s">
        <v>52</v>
      </c>
      <c r="B6" s="7">
        <v>3</v>
      </c>
    </row>
    <row r="7" spans="1:2" x14ac:dyDescent="0.25">
      <c r="A7" s="6" t="s">
        <v>241</v>
      </c>
      <c r="B7" s="7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A34B-D503-46B0-A5B6-FC078706DBE8}">
  <dimension ref="B2:F8"/>
  <sheetViews>
    <sheetView tabSelected="1" topLeftCell="D2" zoomScale="72" zoomScaleNormal="70" workbookViewId="0">
      <selection activeCell="AB16" sqref="AB16"/>
    </sheetView>
  </sheetViews>
  <sheetFormatPr defaultRowHeight="15" x14ac:dyDescent="0.25"/>
  <cols>
    <col min="2" max="2" width="18.42578125" bestFit="1" customWidth="1"/>
    <col min="4" max="4" width="15.5703125" bestFit="1" customWidth="1"/>
    <col min="6" max="6" width="17.28515625" bestFit="1" customWidth="1"/>
  </cols>
  <sheetData>
    <row r="2" spans="2:6" ht="21" x14ac:dyDescent="0.35">
      <c r="B2" s="14" t="s">
        <v>255</v>
      </c>
      <c r="C2" s="14"/>
      <c r="D2" s="14"/>
      <c r="E2" s="14"/>
      <c r="F2" s="14"/>
    </row>
    <row r="4" spans="2:6" ht="15.75" thickBot="1" x14ac:dyDescent="0.3">
      <c r="B4" s="8" t="s">
        <v>248</v>
      </c>
      <c r="D4" s="8" t="s">
        <v>249</v>
      </c>
      <c r="F4" s="8" t="s">
        <v>250</v>
      </c>
    </row>
    <row r="5" spans="2:6" ht="21" x14ac:dyDescent="0.35">
      <c r="B5" s="13">
        <f>COUNTA(Clean_Data!A2:A101)</f>
        <v>100</v>
      </c>
      <c r="D5" s="9">
        <v>0.94</v>
      </c>
      <c r="F5" s="10" t="s">
        <v>251</v>
      </c>
    </row>
    <row r="7" spans="2:6" ht="15.75" thickBot="1" x14ac:dyDescent="0.3">
      <c r="B7" s="8" t="s">
        <v>252</v>
      </c>
      <c r="D7" s="8" t="s">
        <v>254</v>
      </c>
    </row>
    <row r="8" spans="2:6" ht="21" x14ac:dyDescent="0.35">
      <c r="B8" s="11" t="s">
        <v>253</v>
      </c>
      <c r="D8" s="12">
        <v>290.95</v>
      </c>
    </row>
  </sheetData>
  <mergeCells count="1"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Clean_Data</vt:lpstr>
      <vt:lpstr>Department_Performance</vt:lpstr>
      <vt:lpstr>Department_Analysis</vt:lpstr>
      <vt:lpstr>Provider_Analysis</vt:lpstr>
      <vt:lpstr>Appointment_Type Analysis</vt:lpstr>
      <vt:lpstr>Satisfaction_Analysis</vt:lpstr>
      <vt:lpstr>Status_Analysis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Ward</dc:creator>
  <cp:lastModifiedBy>Jasmine Ward</cp:lastModifiedBy>
  <dcterms:created xsi:type="dcterms:W3CDTF">2026-08-22T17:02:03Z</dcterms:created>
  <dcterms:modified xsi:type="dcterms:W3CDTF">2026-08-27T01:09:17Z</dcterms:modified>
</cp:coreProperties>
</file>